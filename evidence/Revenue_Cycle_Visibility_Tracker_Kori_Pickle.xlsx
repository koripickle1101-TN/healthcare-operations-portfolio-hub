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Claim Tracker" sheetId="2" state="visible" r:id="rId4"/>
    <sheet name="Denial Root Causes" sheetId="3" state="visible" r:id="rId5"/>
    <sheet name="Workqueue Priority" sheetId="4" state="visible" r:id="rId6"/>
    <sheet name="Metric Definitions" sheetId="5" state="visible" r:id="rId7"/>
  </sheets>
  <definedNames>
    <definedName function="false" hidden="true" localSheetId="1" name="_xlnm._FilterDatabase" vbProcedure="false">'Claim Tracker'!$A$1:$M$16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<sst xmlns="http://schemas.openxmlformats.org/spreadsheetml/2006/main" count="282" uniqueCount="175">
  <si>
    <t xml:space="preserve">Revenue Cycle Visibility Tracker</t>
  </si>
  <si>
    <t xml:space="preserve">Created by Kori Pickle | Simulated Data Only | No PHI</t>
  </si>
  <si>
    <t xml:space="preserve">Total Claims Tracked</t>
  </si>
  <si>
    <t xml:space="preserve">Denial Rate</t>
  </si>
  <si>
    <t xml:space="preserve">Clean Claim Rate</t>
  </si>
  <si>
    <t xml:space="preserve">Average Days in A/R</t>
  </si>
  <si>
    <t xml:space="preserve">High-Risk Accounts</t>
  </si>
  <si>
    <t xml:space="preserve">Authorization Denials</t>
  </si>
  <si>
    <t xml:space="preserve">Eligibility Denials</t>
  </si>
  <si>
    <t xml:space="preserve">Rework Volume</t>
  </si>
  <si>
    <t xml:space="preserve">Root Cause Category</t>
  </si>
  <si>
    <t xml:space="preserve">Claim Count</t>
  </si>
  <si>
    <t xml:space="preserve">Denial Count</t>
  </si>
  <si>
    <t xml:space="preserve">Priority Tier</t>
  </si>
  <si>
    <t xml:space="preserve">Total Amount</t>
  </si>
  <si>
    <t xml:space="preserve">Authorization</t>
  </si>
  <si>
    <t xml:space="preserve">Tier 1</t>
  </si>
  <si>
    <t xml:space="preserve">Eligibility</t>
  </si>
  <si>
    <t xml:space="preserve">Tier 2</t>
  </si>
  <si>
    <t xml:space="preserve">Documentation</t>
  </si>
  <si>
    <t xml:space="preserve">Tier 3</t>
  </si>
  <si>
    <t xml:space="preserve">Coding</t>
  </si>
  <si>
    <t xml:space="preserve">Payer/Data Error</t>
  </si>
  <si>
    <t xml:space="preserve">Payer Delay</t>
  </si>
  <si>
    <t xml:space="preserve">Clean Claim</t>
  </si>
  <si>
    <t xml:space="preserve">Claim ID</t>
  </si>
  <si>
    <t xml:space="preserve">Service Date</t>
  </si>
  <si>
    <t xml:space="preserve">Payer</t>
  </si>
  <si>
    <t xml:space="preserve">Claim Amount</t>
  </si>
  <si>
    <t xml:space="preserve">Current Status</t>
  </si>
  <si>
    <t xml:space="preserve">Workflow Source</t>
  </si>
  <si>
    <t xml:space="preserve">Owner</t>
  </si>
  <si>
    <t xml:space="preserve">Next Action</t>
  </si>
  <si>
    <t xml:space="preserve">Due Date</t>
  </si>
  <si>
    <t xml:space="preserve">Days in A/R</t>
  </si>
  <si>
    <t xml:space="preserve">Notes</t>
  </si>
  <si>
    <t xml:space="preserve">CLM-1001</t>
  </si>
  <si>
    <t xml:space="preserve">BlueCross</t>
  </si>
  <si>
    <t xml:space="preserve">Denied</t>
  </si>
  <si>
    <t xml:space="preserve">Patient Access</t>
  </si>
  <si>
    <t xml:space="preserve">Registration Lead</t>
  </si>
  <si>
    <t xml:space="preserve">Verify active coverage and resubmit</t>
  </si>
  <si>
    <t xml:space="preserve">High-dollar eligibility denial</t>
  </si>
  <si>
    <t xml:space="preserve">CLM-1002</t>
  </si>
  <si>
    <t xml:space="preserve">Aetna</t>
  </si>
  <si>
    <t xml:space="preserve">Pending</t>
  </si>
  <si>
    <t xml:space="preserve">Prior Authorization</t>
  </si>
  <si>
    <t xml:space="preserve">Auth Specialist</t>
  </si>
  <si>
    <t xml:space="preserve">Confirm approval number/date range</t>
  </si>
  <si>
    <t xml:space="preserve">Service occurred near auth window</t>
  </si>
  <si>
    <t xml:space="preserve">CLM-1003</t>
  </si>
  <si>
    <t xml:space="preserve">UnitedHealthcare</t>
  </si>
  <si>
    <t xml:space="preserve">Paid</t>
  </si>
  <si>
    <t xml:space="preserve">Billing</t>
  </si>
  <si>
    <t xml:space="preserve">Billing Analyst</t>
  </si>
  <si>
    <t xml:space="preserve">No action needed</t>
  </si>
  <si>
    <t xml:space="preserve">Clean payment</t>
  </si>
  <si>
    <t xml:space="preserve">CLM-1004</t>
  </si>
  <si>
    <t xml:space="preserve">Cigna</t>
  </si>
  <si>
    <t xml:space="preserve">Rejected</t>
  </si>
  <si>
    <t xml:space="preserve">Registration</t>
  </si>
  <si>
    <t xml:space="preserve">Patient Access Rep</t>
  </si>
  <si>
    <t xml:space="preserve">Correct member ID and rebill</t>
  </si>
  <si>
    <t xml:space="preserve">Demographic mismatch</t>
  </si>
  <si>
    <t xml:space="preserve">CLM-1005</t>
  </si>
  <si>
    <t xml:space="preserve">Medicare</t>
  </si>
  <si>
    <t xml:space="preserve">Clinical Documentation</t>
  </si>
  <si>
    <t xml:space="preserve">Documentation Owner</t>
  </si>
  <si>
    <t xml:space="preserve">Request missing documentation</t>
  </si>
  <si>
    <t xml:space="preserve">Medical necessity support missing</t>
  </si>
  <si>
    <t xml:space="preserve">CLM-1006</t>
  </si>
  <si>
    <t xml:space="preserve">Medicaid</t>
  </si>
  <si>
    <t xml:space="preserve">A/R Follow-Up</t>
  </si>
  <si>
    <t xml:space="preserve">A/R Analyst</t>
  </si>
  <si>
    <t xml:space="preserve">Follow payer status</t>
  </si>
  <si>
    <t xml:space="preserve">Payer processing delay</t>
  </si>
  <si>
    <t xml:space="preserve">CLM-1007</t>
  </si>
  <si>
    <t xml:space="preserve">Humana</t>
  </si>
  <si>
    <t xml:space="preserve">Appeal with auth evidence</t>
  </si>
  <si>
    <t xml:space="preserve">Authorization not matched</t>
  </si>
  <si>
    <t xml:space="preserve">CLM-1008</t>
  </si>
  <si>
    <t xml:space="preserve">Paid first pass</t>
  </si>
  <si>
    <t xml:space="preserve">CLM-1009</t>
  </si>
  <si>
    <t xml:space="preserve">Review COB and coverage</t>
  </si>
  <si>
    <t xml:space="preserve">COB unresolved</t>
  </si>
  <si>
    <t xml:space="preserve">CLM-1010</t>
  </si>
  <si>
    <t xml:space="preserve">Coder</t>
  </si>
  <si>
    <t xml:space="preserve">Review diagnosis/procedure alignment</t>
  </si>
  <si>
    <t xml:space="preserve">Coding edit</t>
  </si>
  <si>
    <t xml:space="preserve">CLM-1011</t>
  </si>
  <si>
    <t xml:space="preserve">Escalate missing auth denial</t>
  </si>
  <si>
    <t xml:space="preserve">Timely follow-up needed</t>
  </si>
  <si>
    <t xml:space="preserve">CLM-1012</t>
  </si>
  <si>
    <t xml:space="preserve">CLM-1013</t>
  </si>
  <si>
    <t xml:space="preserve">Obtain signed note</t>
  </si>
  <si>
    <t xml:space="preserve">Documentation pending</t>
  </si>
  <si>
    <t xml:space="preserve">CLM-1014</t>
  </si>
  <si>
    <t xml:space="preserve">Correct payer and resubmit</t>
  </si>
  <si>
    <t xml:space="preserve">Wrong payer selected</t>
  </si>
  <si>
    <t xml:space="preserve">CLM-1015</t>
  </si>
  <si>
    <t xml:space="preserve">Follow up by phone/portal</t>
  </si>
  <si>
    <t xml:space="preserve">Waiting payer response</t>
  </si>
  <si>
    <t xml:space="preserve">Example Failure</t>
  </si>
  <si>
    <t xml:space="preserve">Downstream Risk</t>
  </si>
  <si>
    <t xml:space="preserve">Prevention Action</t>
  </si>
  <si>
    <t xml:space="preserve">Metric to Track</t>
  </si>
  <si>
    <t xml:space="preserve">Inactive coverage or wrong plan selected</t>
  </si>
  <si>
    <t xml:space="preserve">Coverage denial, rejection, patient billing confusion</t>
  </si>
  <si>
    <t xml:space="preserve">Verify active coverage and payer plan before service</t>
  </si>
  <si>
    <t xml:space="preserve">Eligibility-related denial rate</t>
  </si>
  <si>
    <t xml:space="preserve">Requirement missed or approval details missing</t>
  </si>
  <si>
    <t xml:space="preserve">Missing authorization denial, delayed reimbursement</t>
  </si>
  <si>
    <t xml:space="preserve">Check payer rules and verify approval number/date range</t>
  </si>
  <si>
    <t xml:space="preserve">Authorization-related denial rate</t>
  </si>
  <si>
    <t xml:space="preserve">Missing medical necessity support</t>
  </si>
  <si>
    <t xml:space="preserve">Medical necessity denial or rework</t>
  </si>
  <si>
    <t xml:space="preserve">Use documentation readiness checklist</t>
  </si>
  <si>
    <t xml:space="preserve">Documentation-related denial rate</t>
  </si>
  <si>
    <t xml:space="preserve">Diagnosis/procedure mismatch</t>
  </si>
  <si>
    <t xml:space="preserve">Coding denial or claim edit</t>
  </si>
  <si>
    <t xml:space="preserve">Validate coding against documentation</t>
  </si>
  <si>
    <t xml:space="preserve">Coding-related denial rate</t>
  </si>
  <si>
    <t xml:space="preserve">Registration/Billing</t>
  </si>
  <si>
    <t xml:space="preserve">Wrong member ID or payer formatting issue</t>
  </si>
  <si>
    <t xml:space="preserve">Claim rejection or reroute delay</t>
  </si>
  <si>
    <t xml:space="preserve">Validate payer/member data before claim submission</t>
  </si>
  <si>
    <t xml:space="preserve">Claim rejection volume</t>
  </si>
  <si>
    <t xml:space="preserve">No internal defect but payer response pending</t>
  </si>
  <si>
    <t xml:space="preserve">A/R aging and delayed cash flow</t>
  </si>
  <si>
    <t xml:space="preserve">Track payer-cycle pending separately</t>
  </si>
  <si>
    <t xml:space="preserve">Criteria</t>
  </si>
  <si>
    <t xml:space="preserve">Example Claim Type</t>
  </si>
  <si>
    <t xml:space="preserve">Required Action</t>
  </si>
  <si>
    <t xml:space="preserve">Escalation Trigger</t>
  </si>
  <si>
    <t xml:space="preserve">High-dollar, denied, near timely filing risk, or &gt;30 days in A/R</t>
  </si>
  <si>
    <t xml:space="preserve">Authorization denial, eligibility denial, high balance account</t>
  </si>
  <si>
    <t xml:space="preserve">Assign owner, next action, deadline, and escalation path</t>
  </si>
  <si>
    <t xml:space="preserve">No action within 48 hours or service/rebill deadline approaching</t>
  </si>
  <si>
    <t xml:space="preserve">Medium-dollar, pending payer response, documentation/coding rework, or 15–30 days in A/R</t>
  </si>
  <si>
    <t xml:space="preserve">Pending documentation, payer follow-up, coding edit</t>
  </si>
  <si>
    <t xml:space="preserve">Track status and follow-up date; resolve internal defect</t>
  </si>
  <si>
    <t xml:space="preserve">No update by due date or claim ages into Tier 1</t>
  </si>
  <si>
    <t xml:space="preserve">Paid, low-dollar, routine follow-up, or clean claim monitoring</t>
  </si>
  <si>
    <t xml:space="preserve">Paid clean claim or low-risk pending item</t>
  </si>
  <si>
    <t xml:space="preserve">Monitor and close when resolved</t>
  </si>
  <si>
    <t xml:space="preserve">Unexpected denial or aging trend appears</t>
  </si>
  <si>
    <t xml:space="preserve">Metric</t>
  </si>
  <si>
    <t xml:space="preserve">Definition</t>
  </si>
  <si>
    <t xml:space="preserve">Formula</t>
  </si>
  <si>
    <t xml:space="preserve">Why It Matters</t>
  </si>
  <si>
    <t xml:space="preserve">Target Direction</t>
  </si>
  <si>
    <t xml:space="preserve">Total simulated claims in the tracker</t>
  </si>
  <si>
    <t xml:space="preserve">Shows tracker volume</t>
  </si>
  <si>
    <t xml:space="preserve">RCM Analyst</t>
  </si>
  <si>
    <t xml:space="preserve">Monitor volume</t>
  </si>
  <si>
    <t xml:space="preserve">Denied claims divided by all tracked claims</t>
  </si>
  <si>
    <t xml:space="preserve">Shows denial burden and workflow risk</t>
  </si>
  <si>
    <t xml:space="preserve">Lower</t>
  </si>
  <si>
    <t xml:space="preserve">Paid clean claims divided by all tracked claims</t>
  </si>
  <si>
    <t xml:space="preserve">Shows first-pass readiness</t>
  </si>
  <si>
    <t xml:space="preserve">Billing Lead</t>
  </si>
  <si>
    <t xml:space="preserve">Higher</t>
  </si>
  <si>
    <t xml:space="preserve">Average days in A/R across tracked claims</t>
  </si>
  <si>
    <t xml:space="preserve">Shows reimbursement delay</t>
  </si>
  <si>
    <t xml:space="preserve">A/R Lead</t>
  </si>
  <si>
    <t xml:space="preserve">Tier 1 claims count</t>
  </si>
  <si>
    <t xml:space="preserve">Shows urgent follow-up workload</t>
  </si>
  <si>
    <t xml:space="preserve">Denied claims tagged Authorization</t>
  </si>
  <si>
    <t xml:space="preserve">Shows prior auth workflow risk</t>
  </si>
  <si>
    <t xml:space="preserve">Denied claims tagged Eligibility</t>
  </si>
  <si>
    <t xml:space="preserve">Shows front-end verification risk</t>
  </si>
  <si>
    <t xml:space="preserve">Patient Access Lead</t>
  </si>
  <si>
    <t xml:space="preserve">Claims denied or rejected requiring action</t>
  </si>
  <si>
    <t xml:space="preserve">Shows avoidable staff workload</t>
  </si>
  <si>
    <t xml:space="preserve">Operations Lead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</si>
</sst>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5324B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5324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5324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0"/>
    <col collapsed="false" customWidth="true" hidden="false" outlineLevel="0" max="3" min="3" style="0" width="52"/>
    <col collapsed="false" customWidth="true" hidden="false" outlineLevel="0" max="4" min="4" style="0" width="15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5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0" t="s">
        <v>2</v>
      </c>
      <c r="C4" s="0" t="s">
        <v>3</v>
      </c>
      <c r="E4" s="0" t="s">
        <v>4</v>
      </c>
      <c r="G4" s="0" t="s">
        <v>5</v>
      </c>
    </row>
    <row r="5" customFormat="false" ht="15" hidden="false" customHeight="false" outlineLevel="0" collapsed="false">
      <c r="A5" s="0" t="n">
        <f aca="false">COUNTA('Claim Tracker'!A2:A1000)</f>
        <v>15</v>
      </c>
      <c r="C5" s="2" t="n">
        <f aca="false">COUNTIF('Claim Tracker'!E2:E1000,"Denied")/COUNTA('Claim Tracker'!A2:A1000)</f>
        <v>0.333333333333333</v>
      </c>
      <c r="E5" s="2" t="n">
        <f aca="false">COUNTIF('Claim Tracker'!F2:F1000,"Clean Claim")/COUNTA('Claim Tracker'!A2:A1000)</f>
        <v>0.2</v>
      </c>
      <c r="G5" s="3" t="n">
        <f aca="false">AVERAGE('Claim Tracker'!K2:K1000)</f>
        <v>20.2</v>
      </c>
    </row>
    <row r="7" customFormat="false" ht="15" hidden="false" customHeight="false" outlineLevel="0" collapsed="false">
      <c r="A7" s="0" t="s">
        <v>6</v>
      </c>
      <c r="C7" s="0" t="s">
        <v>7</v>
      </c>
      <c r="E7" s="0" t="s">
        <v>8</v>
      </c>
      <c r="G7" s="0" t="s">
        <v>9</v>
      </c>
    </row>
    <row r="8" customFormat="false" ht="15" hidden="false" customHeight="false" outlineLevel="0" collapsed="false">
      <c r="A8" s="0" t="n">
        <f aca="false">COUNTIF('Claim Tracker'!L2:L1000,"Tier 1")</f>
        <v>7</v>
      </c>
      <c r="C8" s="0" t="n">
        <f aca="false">COUNTIFS('Claim Tracker'!E2:E1000,"Denied",'Claim Tracker'!F2:F1000,"Authorization")</f>
        <v>2</v>
      </c>
      <c r="E8" s="0" t="n">
        <f aca="false">COUNTIFS('Claim Tracker'!E2:E1000,"Denied",'Claim Tracker'!F2:F1000,"Eligibility")</f>
        <v>2</v>
      </c>
      <c r="G8" s="0" t="n">
        <f aca="false">COUNTIF('Claim Tracker'!E2:E1000,"Denied")+COUNTIF('Claim Tracker'!E2:E1000,"Rejected")</f>
        <v>7</v>
      </c>
    </row>
    <row r="10" customFormat="false" ht="15" hidden="false" customHeight="false" outlineLevel="0" collapsed="false">
      <c r="A10" s="0" t="s">
        <v>10</v>
      </c>
      <c r="B10" s="0" t="s">
        <v>11</v>
      </c>
      <c r="C10" s="0" t="s">
        <v>12</v>
      </c>
      <c r="E10" s="0" t="s">
        <v>13</v>
      </c>
      <c r="F10" s="0" t="s">
        <v>11</v>
      </c>
      <c r="G10" s="0" t="s">
        <v>14</v>
      </c>
    </row>
    <row r="11" customFormat="false" ht="15" hidden="false" customHeight="false" outlineLevel="0" collapsed="false">
      <c r="A11" s="0" t="s">
        <v>15</v>
      </c>
      <c r="B11" s="0" t="n">
        <f aca="false">COUNTIF('Claim Tracker'!F2:F1000,A11)</f>
        <v>3</v>
      </c>
      <c r="C11" s="0" t="n">
        <f aca="false">COUNTIFS('Claim Tracker'!F2:F1000,A11,'Claim Tracker'!E2:E1000,"Denied")</f>
        <v>2</v>
      </c>
      <c r="E11" s="0" t="s">
        <v>16</v>
      </c>
      <c r="F11" s="0" t="n">
        <f aca="false">COUNTIF('Claim Tracker'!L2:L1000,E11)</f>
        <v>7</v>
      </c>
      <c r="G11" s="0" t="n">
        <f aca="false">SUMIF('Claim Tracker'!L2:L1000,E11,'Claim Tracker'!D2:D1000)</f>
        <v>8425</v>
      </c>
    </row>
    <row r="12" customFormat="false" ht="15" hidden="false" customHeight="false" outlineLevel="0" collapsed="false">
      <c r="A12" s="0" t="s">
        <v>17</v>
      </c>
      <c r="B12" s="0" t="n">
        <f aca="false">COUNTIF('Claim Tracker'!F2:F1000,A12)</f>
        <v>3</v>
      </c>
      <c r="C12" s="0" t="n">
        <f aca="false">COUNTIFS('Claim Tracker'!F2:F1000,A12,'Claim Tracker'!E2:E1000,"Denied")</f>
        <v>2</v>
      </c>
      <c r="E12" s="0" t="s">
        <v>18</v>
      </c>
      <c r="F12" s="0" t="n">
        <f aca="false">COUNTIF('Claim Tracker'!L2:L1000,E12)</f>
        <v>5</v>
      </c>
      <c r="G12" s="0" t="n">
        <f aca="false">SUMIF('Claim Tracker'!L2:L1000,E12,'Claim Tracker'!D2:D1000)</f>
        <v>2770</v>
      </c>
    </row>
    <row r="13" customFormat="false" ht="15" hidden="false" customHeight="false" outlineLevel="0" collapsed="false">
      <c r="A13" s="0" t="s">
        <v>19</v>
      </c>
      <c r="B13" s="0" t="n">
        <f aca="false">COUNTIF('Claim Tracker'!F2:F1000,A13)</f>
        <v>2</v>
      </c>
      <c r="C13" s="0" t="n">
        <f aca="false">COUNTIFS('Claim Tracker'!F2:F1000,A13,'Claim Tracker'!E2:E1000,"Denied")</f>
        <v>1</v>
      </c>
      <c r="E13" s="0" t="s">
        <v>20</v>
      </c>
      <c r="F13" s="0" t="n">
        <f aca="false">COUNTIF('Claim Tracker'!L2:L1000,E13)</f>
        <v>3</v>
      </c>
      <c r="G13" s="0" t="n">
        <f aca="false">SUMIF('Claim Tracker'!L2:L1000,E13,'Claim Tracker'!D2:D1000)</f>
        <v>1815</v>
      </c>
    </row>
    <row r="14" customFormat="false" ht="15" hidden="false" customHeight="false" outlineLevel="0" collapsed="false">
      <c r="A14" s="0" t="s">
        <v>21</v>
      </c>
      <c r="B14" s="0" t="n">
        <f aca="false">COUNTIF('Claim Tracker'!F2:F1000,A14)</f>
        <v>1</v>
      </c>
      <c r="C14" s="0" t="n">
        <f aca="false">COUNTIFS('Claim Tracker'!F2:F1000,A14,'Claim Tracker'!E2:E1000,"Denied")</f>
        <v>0</v>
      </c>
    </row>
    <row r="15" customFormat="false" ht="15" hidden="false" customHeight="false" outlineLevel="0" collapsed="false">
      <c r="A15" s="0" t="s">
        <v>22</v>
      </c>
      <c r="B15" s="0" t="n">
        <f aca="false">COUNTIF('Claim Tracker'!F2:F1000,A15)</f>
        <v>1</v>
      </c>
      <c r="C15" s="0" t="n">
        <f aca="false">COUNTIFS('Claim Tracker'!F2:F1000,A15,'Claim Tracker'!E2:E1000,"Denied")</f>
        <v>0</v>
      </c>
    </row>
    <row r="16" customFormat="false" ht="15" hidden="false" customHeight="false" outlineLevel="0" collapsed="false">
      <c r="A16" s="0" t="s">
        <v>23</v>
      </c>
      <c r="B16" s="0" t="n">
        <f aca="false">COUNTIF('Claim Tracker'!F2:F1000,A16)</f>
        <v>2</v>
      </c>
      <c r="C16" s="0" t="n">
        <f aca="false">COUNTIFS('Claim Tracker'!F2:F1000,A16,'Claim Tracker'!E2:E1000,"Denied")</f>
        <v>0</v>
      </c>
    </row>
    <row r="17" customFormat="false" ht="15" hidden="false" customHeight="false" outlineLevel="0" collapsed="false">
      <c r="A17" s="0" t="s">
        <v>24</v>
      </c>
      <c r="B17" s="0" t="n">
        <f aca="false">COUNTIF('Claim Tracker'!F2:F1000,A17)</f>
        <v>3</v>
      </c>
      <c r="C17" s="0" t="n">
        <f aca="false">COUNTIFS('Claim Tracker'!F2:F1000,A17,'Claim Tracker'!E2:E1000,"Denied")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5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21"/>
    <col collapsed="false" customWidth="true" hidden="false" outlineLevel="0" max="7" min="7" style="0" width="24"/>
    <col collapsed="false" customWidth="true" hidden="false" outlineLevel="0" max="8" min="8" style="0" width="21"/>
    <col collapsed="false" customWidth="true" hidden="false" outlineLevel="0" max="9" min="9" style="0" width="38"/>
    <col collapsed="false" customWidth="true" hidden="false" outlineLevel="0" max="12" min="10" style="0" width="15"/>
    <col collapsed="false" customWidth="true" hidden="false" outlineLevel="0" max="13" min="13" style="0" width="35"/>
  </cols>
  <sheetData>
    <row r="1" customFormat="false" ht="15" hidden="false" customHeight="false" outlineLevel="0" collapsed="false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10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13</v>
      </c>
      <c r="M1" s="1" t="s">
        <v>35</v>
      </c>
    </row>
    <row r="2" customFormat="false" ht="15" hidden="false" customHeight="false" outlineLevel="0" collapsed="false">
      <c r="A2" s="0" t="s">
        <v>36</v>
      </c>
      <c r="B2" s="0" t="n">
        <v>46143</v>
      </c>
      <c r="C2" s="0" t="s">
        <v>37</v>
      </c>
      <c r="D2" s="0" t="n">
        <v>1250</v>
      </c>
      <c r="E2" s="4" t="s">
        <v>38</v>
      </c>
      <c r="F2" s="0" t="s">
        <v>17</v>
      </c>
      <c r="G2" s="0" t="s">
        <v>39</v>
      </c>
      <c r="H2" s="0" t="s">
        <v>40</v>
      </c>
      <c r="I2" s="0" t="s">
        <v>41</v>
      </c>
      <c r="J2" s="0" t="n">
        <v>46150</v>
      </c>
      <c r="K2" s="0" t="n">
        <v>18</v>
      </c>
      <c r="L2" s="4" t="s">
        <v>16</v>
      </c>
      <c r="M2" s="0" t="s">
        <v>42</v>
      </c>
    </row>
    <row r="3" customFormat="false" ht="15" hidden="false" customHeight="false" outlineLevel="0" collapsed="false">
      <c r="A3" s="0" t="s">
        <v>43</v>
      </c>
      <c r="B3" s="0" t="n">
        <v>46144</v>
      </c>
      <c r="C3" s="0" t="s">
        <v>44</v>
      </c>
      <c r="D3" s="0" t="n">
        <v>740</v>
      </c>
      <c r="E3" s="4" t="s">
        <v>45</v>
      </c>
      <c r="F3" s="0" t="s">
        <v>15</v>
      </c>
      <c r="G3" s="0" t="s">
        <v>46</v>
      </c>
      <c r="H3" s="0" t="s">
        <v>47</v>
      </c>
      <c r="I3" s="0" t="s">
        <v>48</v>
      </c>
      <c r="J3" s="0" t="n">
        <v>46149</v>
      </c>
      <c r="K3" s="0" t="n">
        <v>14</v>
      </c>
      <c r="L3" s="4" t="s">
        <v>16</v>
      </c>
      <c r="M3" s="0" t="s">
        <v>49</v>
      </c>
    </row>
    <row r="4" customFormat="false" ht="15" hidden="false" customHeight="false" outlineLevel="0" collapsed="false">
      <c r="A4" s="0" t="s">
        <v>50</v>
      </c>
      <c r="B4" s="0" t="n">
        <v>46145</v>
      </c>
      <c r="C4" s="0" t="s">
        <v>51</v>
      </c>
      <c r="D4" s="0" t="n">
        <v>430</v>
      </c>
      <c r="E4" s="4" t="s">
        <v>52</v>
      </c>
      <c r="F4" s="0" t="s">
        <v>24</v>
      </c>
      <c r="G4" s="0" t="s">
        <v>53</v>
      </c>
      <c r="H4" s="0" t="s">
        <v>54</v>
      </c>
      <c r="I4" s="0" t="s">
        <v>55</v>
      </c>
      <c r="J4" s="0" t="n">
        <v>46145</v>
      </c>
      <c r="K4" s="0" t="n">
        <v>8</v>
      </c>
      <c r="L4" s="4" t="s">
        <v>20</v>
      </c>
      <c r="M4" s="0" t="s">
        <v>56</v>
      </c>
    </row>
    <row r="5" customFormat="false" ht="15" hidden="false" customHeight="false" outlineLevel="0" collapsed="false">
      <c r="A5" s="0" t="s">
        <v>57</v>
      </c>
      <c r="B5" s="0" t="n">
        <v>46146</v>
      </c>
      <c r="C5" s="0" t="s">
        <v>58</v>
      </c>
      <c r="D5" s="0" t="n">
        <v>980</v>
      </c>
      <c r="E5" s="4" t="s">
        <v>59</v>
      </c>
      <c r="F5" s="0" t="s">
        <v>22</v>
      </c>
      <c r="G5" s="0" t="s">
        <v>60</v>
      </c>
      <c r="H5" s="0" t="s">
        <v>61</v>
      </c>
      <c r="I5" s="0" t="s">
        <v>62</v>
      </c>
      <c r="J5" s="0" t="n">
        <v>46149</v>
      </c>
      <c r="K5" s="0" t="n">
        <v>11</v>
      </c>
      <c r="L5" s="4" t="s">
        <v>18</v>
      </c>
      <c r="M5" s="0" t="s">
        <v>63</v>
      </c>
    </row>
    <row r="6" customFormat="false" ht="15" hidden="false" customHeight="false" outlineLevel="0" collapsed="false">
      <c r="A6" s="0" t="s">
        <v>64</v>
      </c>
      <c r="B6" s="0" t="n">
        <v>46147</v>
      </c>
      <c r="C6" s="0" t="s">
        <v>65</v>
      </c>
      <c r="D6" s="0" t="n">
        <v>1800</v>
      </c>
      <c r="E6" s="4" t="s">
        <v>38</v>
      </c>
      <c r="F6" s="0" t="s">
        <v>19</v>
      </c>
      <c r="G6" s="0" t="s">
        <v>66</v>
      </c>
      <c r="H6" s="0" t="s">
        <v>67</v>
      </c>
      <c r="I6" s="0" t="s">
        <v>68</v>
      </c>
      <c r="J6" s="0" t="n">
        <v>46149</v>
      </c>
      <c r="K6" s="0" t="n">
        <v>27</v>
      </c>
      <c r="L6" s="4" t="s">
        <v>16</v>
      </c>
      <c r="M6" s="0" t="s">
        <v>69</v>
      </c>
    </row>
    <row r="7" customFormat="false" ht="15" hidden="false" customHeight="false" outlineLevel="0" collapsed="false">
      <c r="A7" s="0" t="s">
        <v>70</v>
      </c>
      <c r="B7" s="0" t="n">
        <v>46148</v>
      </c>
      <c r="C7" s="0" t="s">
        <v>71</v>
      </c>
      <c r="D7" s="0" t="n">
        <v>325</v>
      </c>
      <c r="E7" s="4" t="s">
        <v>45</v>
      </c>
      <c r="F7" s="0" t="s">
        <v>23</v>
      </c>
      <c r="G7" s="0" t="s">
        <v>72</v>
      </c>
      <c r="H7" s="0" t="s">
        <v>73</v>
      </c>
      <c r="I7" s="0" t="s">
        <v>74</v>
      </c>
      <c r="J7" s="0" t="n">
        <v>46154</v>
      </c>
      <c r="K7" s="0" t="n">
        <v>21</v>
      </c>
      <c r="L7" s="4" t="s">
        <v>18</v>
      </c>
      <c r="M7" s="0" t="s">
        <v>75</v>
      </c>
    </row>
    <row r="8" customFormat="false" ht="15" hidden="false" customHeight="false" outlineLevel="0" collapsed="false">
      <c r="A8" s="0" t="s">
        <v>76</v>
      </c>
      <c r="B8" s="0" t="n">
        <v>46149</v>
      </c>
      <c r="C8" s="0" t="s">
        <v>77</v>
      </c>
      <c r="D8" s="0" t="n">
        <v>650</v>
      </c>
      <c r="E8" s="4" t="s">
        <v>38</v>
      </c>
      <c r="F8" s="0" t="s">
        <v>15</v>
      </c>
      <c r="G8" s="0" t="s">
        <v>46</v>
      </c>
      <c r="H8" s="0" t="s">
        <v>47</v>
      </c>
      <c r="I8" s="0" t="s">
        <v>78</v>
      </c>
      <c r="J8" s="0" t="n">
        <v>46153</v>
      </c>
      <c r="K8" s="0" t="n">
        <v>34</v>
      </c>
      <c r="L8" s="4" t="s">
        <v>16</v>
      </c>
      <c r="M8" s="0" t="s">
        <v>79</v>
      </c>
    </row>
    <row r="9" customFormat="false" ht="15" hidden="false" customHeight="false" outlineLevel="0" collapsed="false">
      <c r="A9" s="0" t="s">
        <v>80</v>
      </c>
      <c r="B9" s="0" t="n">
        <v>46150</v>
      </c>
      <c r="C9" s="0" t="s">
        <v>37</v>
      </c>
      <c r="D9" s="0" t="n">
        <v>510</v>
      </c>
      <c r="E9" s="4" t="s">
        <v>52</v>
      </c>
      <c r="F9" s="0" t="s">
        <v>24</v>
      </c>
      <c r="G9" s="0" t="s">
        <v>53</v>
      </c>
      <c r="H9" s="0" t="s">
        <v>54</v>
      </c>
      <c r="I9" s="0" t="s">
        <v>55</v>
      </c>
      <c r="J9" s="0" t="n">
        <v>46150</v>
      </c>
      <c r="K9" s="0" t="n">
        <v>6</v>
      </c>
      <c r="L9" s="4" t="s">
        <v>20</v>
      </c>
      <c r="M9" s="0" t="s">
        <v>81</v>
      </c>
    </row>
    <row r="10" customFormat="false" ht="15" hidden="false" customHeight="false" outlineLevel="0" collapsed="false">
      <c r="A10" s="0" t="s">
        <v>82</v>
      </c>
      <c r="B10" s="0" t="n">
        <v>46151</v>
      </c>
      <c r="C10" s="0" t="s">
        <v>44</v>
      </c>
      <c r="D10" s="0" t="n">
        <v>1120</v>
      </c>
      <c r="E10" s="4" t="s">
        <v>45</v>
      </c>
      <c r="F10" s="0" t="s">
        <v>17</v>
      </c>
      <c r="G10" s="0" t="s">
        <v>39</v>
      </c>
      <c r="H10" s="0" t="s">
        <v>40</v>
      </c>
      <c r="I10" s="0" t="s">
        <v>83</v>
      </c>
      <c r="J10" s="0" t="n">
        <v>46159</v>
      </c>
      <c r="K10" s="0" t="n">
        <v>19</v>
      </c>
      <c r="L10" s="4" t="s">
        <v>16</v>
      </c>
      <c r="M10" s="0" t="s">
        <v>84</v>
      </c>
    </row>
    <row r="11" customFormat="false" ht="15" hidden="false" customHeight="false" outlineLevel="0" collapsed="false">
      <c r="A11" s="0" t="s">
        <v>85</v>
      </c>
      <c r="B11" s="0" t="n">
        <v>46152</v>
      </c>
      <c r="C11" s="0" t="s">
        <v>51</v>
      </c>
      <c r="D11" s="0" t="n">
        <v>290</v>
      </c>
      <c r="E11" s="4" t="s">
        <v>59</v>
      </c>
      <c r="F11" s="0" t="s">
        <v>21</v>
      </c>
      <c r="G11" s="0" t="s">
        <v>21</v>
      </c>
      <c r="H11" s="0" t="s">
        <v>86</v>
      </c>
      <c r="I11" s="0" t="s">
        <v>87</v>
      </c>
      <c r="J11" s="0" t="n">
        <v>46154</v>
      </c>
      <c r="K11" s="0" t="n">
        <v>12</v>
      </c>
      <c r="L11" s="4" t="s">
        <v>18</v>
      </c>
      <c r="M11" s="0" t="s">
        <v>88</v>
      </c>
    </row>
    <row r="12" customFormat="false" ht="15" hidden="false" customHeight="false" outlineLevel="0" collapsed="false">
      <c r="A12" s="0" t="s">
        <v>89</v>
      </c>
      <c r="B12" s="0" t="n">
        <v>46153</v>
      </c>
      <c r="C12" s="0" t="s">
        <v>58</v>
      </c>
      <c r="D12" s="0" t="n">
        <v>1540</v>
      </c>
      <c r="E12" s="4" t="s">
        <v>38</v>
      </c>
      <c r="F12" s="0" t="s">
        <v>15</v>
      </c>
      <c r="G12" s="0" t="s">
        <v>46</v>
      </c>
      <c r="H12" s="0" t="s">
        <v>47</v>
      </c>
      <c r="I12" s="0" t="s">
        <v>90</v>
      </c>
      <c r="J12" s="0" t="n">
        <v>46154</v>
      </c>
      <c r="K12" s="0" t="n">
        <v>44</v>
      </c>
      <c r="L12" s="4" t="s">
        <v>16</v>
      </c>
      <c r="M12" s="0" t="s">
        <v>91</v>
      </c>
    </row>
    <row r="13" customFormat="false" ht="15" hidden="false" customHeight="false" outlineLevel="0" collapsed="false">
      <c r="A13" s="0" t="s">
        <v>92</v>
      </c>
      <c r="B13" s="0" t="n">
        <v>46154</v>
      </c>
      <c r="C13" s="0" t="s">
        <v>65</v>
      </c>
      <c r="D13" s="0" t="n">
        <v>875</v>
      </c>
      <c r="E13" s="4" t="s">
        <v>52</v>
      </c>
      <c r="F13" s="0" t="s">
        <v>24</v>
      </c>
      <c r="G13" s="0" t="s">
        <v>53</v>
      </c>
      <c r="H13" s="0" t="s">
        <v>54</v>
      </c>
      <c r="I13" s="0" t="s">
        <v>55</v>
      </c>
      <c r="J13" s="0" t="n">
        <v>46154</v>
      </c>
      <c r="K13" s="0" t="n">
        <v>9</v>
      </c>
      <c r="L13" s="4" t="s">
        <v>20</v>
      </c>
      <c r="M13" s="0" t="s">
        <v>52</v>
      </c>
    </row>
    <row r="14" customFormat="false" ht="15" hidden="false" customHeight="false" outlineLevel="0" collapsed="false">
      <c r="A14" s="0" t="s">
        <v>93</v>
      </c>
      <c r="B14" s="0" t="n">
        <v>46155</v>
      </c>
      <c r="C14" s="0" t="s">
        <v>71</v>
      </c>
      <c r="D14" s="0" t="n">
        <v>460</v>
      </c>
      <c r="E14" s="4" t="s">
        <v>45</v>
      </c>
      <c r="F14" s="0" t="s">
        <v>19</v>
      </c>
      <c r="G14" s="0" t="s">
        <v>66</v>
      </c>
      <c r="H14" s="0" t="s">
        <v>67</v>
      </c>
      <c r="I14" s="0" t="s">
        <v>94</v>
      </c>
      <c r="J14" s="0" t="n">
        <v>46160</v>
      </c>
      <c r="K14" s="0" t="n">
        <v>25</v>
      </c>
      <c r="L14" s="4" t="s">
        <v>18</v>
      </c>
      <c r="M14" s="0" t="s">
        <v>95</v>
      </c>
    </row>
    <row r="15" customFormat="false" ht="15" hidden="false" customHeight="false" outlineLevel="0" collapsed="false">
      <c r="A15" s="0" t="s">
        <v>96</v>
      </c>
      <c r="B15" s="0" t="n">
        <v>46156</v>
      </c>
      <c r="C15" s="0" t="s">
        <v>77</v>
      </c>
      <c r="D15" s="0" t="n">
        <v>1325</v>
      </c>
      <c r="E15" s="4" t="s">
        <v>38</v>
      </c>
      <c r="F15" s="0" t="s">
        <v>17</v>
      </c>
      <c r="G15" s="0" t="s">
        <v>39</v>
      </c>
      <c r="H15" s="0" t="s">
        <v>40</v>
      </c>
      <c r="I15" s="0" t="s">
        <v>97</v>
      </c>
      <c r="J15" s="0" t="n">
        <v>46159</v>
      </c>
      <c r="K15" s="0" t="n">
        <v>38</v>
      </c>
      <c r="L15" s="4" t="s">
        <v>16</v>
      </c>
      <c r="M15" s="0" t="s">
        <v>98</v>
      </c>
    </row>
    <row r="16" customFormat="false" ht="15" hidden="false" customHeight="false" outlineLevel="0" collapsed="false">
      <c r="A16" s="0" t="s">
        <v>99</v>
      </c>
      <c r="B16" s="0" t="n">
        <v>46157</v>
      </c>
      <c r="C16" s="0" t="s">
        <v>37</v>
      </c>
      <c r="D16" s="0" t="n">
        <v>715</v>
      </c>
      <c r="E16" s="4" t="s">
        <v>45</v>
      </c>
      <c r="F16" s="0" t="s">
        <v>23</v>
      </c>
      <c r="G16" s="0" t="s">
        <v>72</v>
      </c>
      <c r="H16" s="0" t="s">
        <v>73</v>
      </c>
      <c r="I16" s="0" t="s">
        <v>100</v>
      </c>
      <c r="J16" s="0" t="n">
        <v>46163</v>
      </c>
      <c r="K16" s="0" t="n">
        <v>17</v>
      </c>
      <c r="L16" s="4" t="s">
        <v>18</v>
      </c>
      <c r="M16" s="0" t="s">
        <v>101</v>
      </c>
    </row>
    <row r="17" customFormat="false" ht="15" hidden="false" customHeight="false" outlineLevel="0" collapsed="false">
      <c r="E17" s="4"/>
      <c r="L17" s="4"/>
    </row>
    <row r="18" customFormat="false" ht="15" hidden="false" customHeight="false" outlineLevel="0" collapsed="false">
      <c r="E18" s="4"/>
      <c r="L18" s="4"/>
    </row>
    <row r="19" customFormat="false" ht="15" hidden="false" customHeight="false" outlineLevel="0" collapsed="false">
      <c r="E19" s="4"/>
      <c r="L19" s="4"/>
    </row>
    <row r="20" customFormat="false" ht="15" hidden="false" customHeight="false" outlineLevel="0" collapsed="false">
      <c r="E20" s="4"/>
      <c r="L20" s="4"/>
    </row>
    <row r="21" customFormat="false" ht="15" hidden="false" customHeight="false" outlineLevel="0" collapsed="false">
      <c r="E21" s="4"/>
      <c r="L21" s="4"/>
    </row>
    <row r="22" customFormat="false" ht="15" hidden="false" customHeight="false" outlineLevel="0" collapsed="false">
      <c r="E22" s="4"/>
      <c r="L22" s="4"/>
    </row>
    <row r="23" customFormat="false" ht="15" hidden="false" customHeight="false" outlineLevel="0" collapsed="false">
      <c r="E23" s="4"/>
      <c r="L23" s="4"/>
    </row>
    <row r="24" customFormat="false" ht="15" hidden="false" customHeight="false" outlineLevel="0" collapsed="false">
      <c r="E24" s="4"/>
      <c r="L24" s="4"/>
    </row>
    <row r="25" customFormat="false" ht="15" hidden="false" customHeight="false" outlineLevel="0" collapsed="false">
      <c r="E25" s="4"/>
      <c r="L25" s="4"/>
    </row>
    <row r="26" customFormat="false" ht="15" hidden="false" customHeight="false" outlineLevel="0" collapsed="false">
      <c r="E26" s="4"/>
      <c r="L26" s="4"/>
    </row>
    <row r="27" customFormat="false" ht="15" hidden="false" customHeight="false" outlineLevel="0" collapsed="false">
      <c r="E27" s="4"/>
      <c r="L27" s="4"/>
    </row>
    <row r="28" customFormat="false" ht="15" hidden="false" customHeight="false" outlineLevel="0" collapsed="false">
      <c r="E28" s="4"/>
      <c r="L28" s="4"/>
    </row>
    <row r="29" customFormat="false" ht="15" hidden="false" customHeight="false" outlineLevel="0" collapsed="false">
      <c r="E29" s="4"/>
      <c r="L29" s="4"/>
    </row>
    <row r="30" customFormat="false" ht="15" hidden="false" customHeight="false" outlineLevel="0" collapsed="false">
      <c r="E30" s="4"/>
      <c r="L30" s="4"/>
    </row>
    <row r="31" customFormat="false" ht="15" hidden="false" customHeight="false" outlineLevel="0" collapsed="false">
      <c r="E31" s="4"/>
      <c r="L31" s="4"/>
    </row>
    <row r="32" customFormat="false" ht="15" hidden="false" customHeight="false" outlineLevel="0" collapsed="false">
      <c r="E32" s="4"/>
      <c r="L32" s="4"/>
    </row>
    <row r="33" customFormat="false" ht="15" hidden="false" customHeight="false" outlineLevel="0" collapsed="false">
      <c r="E33" s="4"/>
      <c r="L33" s="4"/>
    </row>
    <row r="34" customFormat="false" ht="15" hidden="false" customHeight="false" outlineLevel="0" collapsed="false">
      <c r="E34" s="4"/>
      <c r="L34" s="4"/>
    </row>
    <row r="35" customFormat="false" ht="15" hidden="false" customHeight="false" outlineLevel="0" collapsed="false">
      <c r="E35" s="4"/>
      <c r="L35" s="4"/>
    </row>
    <row r="36" customFormat="false" ht="15" hidden="false" customHeight="false" outlineLevel="0" collapsed="false">
      <c r="E36" s="4"/>
      <c r="L36" s="4"/>
    </row>
    <row r="37" customFormat="false" ht="15" hidden="false" customHeight="false" outlineLevel="0" collapsed="false">
      <c r="E37" s="4"/>
      <c r="L37" s="4"/>
    </row>
    <row r="38" customFormat="false" ht="15" hidden="false" customHeight="false" outlineLevel="0" collapsed="false">
      <c r="E38" s="4"/>
      <c r="L38" s="4"/>
    </row>
    <row r="39" customFormat="false" ht="15" hidden="false" customHeight="false" outlineLevel="0" collapsed="false">
      <c r="E39" s="4"/>
      <c r="L39" s="4"/>
    </row>
    <row r="40" customFormat="false" ht="15" hidden="false" customHeight="false" outlineLevel="0" collapsed="false">
      <c r="E40" s="4"/>
      <c r="L40" s="4"/>
    </row>
    <row r="41" customFormat="false" ht="15" hidden="false" customHeight="false" outlineLevel="0" collapsed="false">
      <c r="E41" s="4"/>
      <c r="L41" s="4"/>
    </row>
    <row r="42" customFormat="false" ht="15" hidden="false" customHeight="false" outlineLevel="0" collapsed="false">
      <c r="E42" s="4"/>
      <c r="L42" s="4"/>
    </row>
    <row r="43" customFormat="false" ht="15" hidden="false" customHeight="false" outlineLevel="0" collapsed="false">
      <c r="E43" s="4"/>
      <c r="L43" s="4"/>
    </row>
    <row r="44" customFormat="false" ht="15" hidden="false" customHeight="false" outlineLevel="0" collapsed="false">
      <c r="E44" s="4"/>
      <c r="L44" s="4"/>
    </row>
    <row r="45" customFormat="false" ht="15" hidden="false" customHeight="false" outlineLevel="0" collapsed="false">
      <c r="E45" s="4"/>
      <c r="L45" s="4"/>
    </row>
    <row r="46" customFormat="false" ht="15" hidden="false" customHeight="false" outlineLevel="0" collapsed="false">
      <c r="E46" s="4"/>
      <c r="L46" s="4"/>
    </row>
    <row r="47" customFormat="false" ht="15" hidden="false" customHeight="false" outlineLevel="0" collapsed="false">
      <c r="E47" s="4"/>
      <c r="L47" s="4"/>
    </row>
    <row r="48" customFormat="false" ht="15" hidden="false" customHeight="false" outlineLevel="0" collapsed="false">
      <c r="E48" s="4"/>
      <c r="L48" s="4"/>
    </row>
    <row r="49" customFormat="false" ht="15" hidden="false" customHeight="false" outlineLevel="0" collapsed="false">
      <c r="E49" s="4"/>
      <c r="L49" s="4"/>
    </row>
    <row r="50" customFormat="false" ht="15" hidden="false" customHeight="false" outlineLevel="0" collapsed="false">
      <c r="E50" s="4"/>
      <c r="L50" s="4"/>
    </row>
    <row r="51" customFormat="false" ht="15" hidden="false" customHeight="false" outlineLevel="0" collapsed="false">
      <c r="E51" s="4"/>
      <c r="L51" s="4"/>
    </row>
    <row r="52" customFormat="false" ht="15" hidden="false" customHeight="false" outlineLevel="0" collapsed="false">
      <c r="E52" s="4"/>
      <c r="L52" s="4"/>
    </row>
    <row r="53" customFormat="false" ht="15" hidden="false" customHeight="false" outlineLevel="0" collapsed="false">
      <c r="E53" s="4"/>
      <c r="L53" s="4"/>
    </row>
    <row r="54" customFormat="false" ht="15" hidden="false" customHeight="false" outlineLevel="0" collapsed="false">
      <c r="E54" s="4"/>
      <c r="L54" s="4"/>
    </row>
    <row r="55" customFormat="false" ht="15" hidden="false" customHeight="false" outlineLevel="0" collapsed="false">
      <c r="E55" s="4"/>
      <c r="L55" s="4"/>
    </row>
    <row r="56" customFormat="false" ht="15" hidden="false" customHeight="false" outlineLevel="0" collapsed="false">
      <c r="E56" s="4"/>
      <c r="L56" s="4"/>
    </row>
    <row r="57" customFormat="false" ht="15" hidden="false" customHeight="false" outlineLevel="0" collapsed="false">
      <c r="E57" s="4"/>
      <c r="L57" s="4"/>
    </row>
    <row r="58" customFormat="false" ht="15" hidden="false" customHeight="false" outlineLevel="0" collapsed="false">
      <c r="E58" s="4"/>
      <c r="L58" s="4"/>
    </row>
    <row r="59" customFormat="false" ht="15" hidden="false" customHeight="false" outlineLevel="0" collapsed="false">
      <c r="E59" s="4"/>
      <c r="L59" s="4"/>
    </row>
    <row r="60" customFormat="false" ht="15" hidden="false" customHeight="false" outlineLevel="0" collapsed="false">
      <c r="E60" s="4"/>
      <c r="L60" s="4"/>
    </row>
    <row r="61" customFormat="false" ht="15" hidden="false" customHeight="false" outlineLevel="0" collapsed="false">
      <c r="E61" s="4"/>
      <c r="L61" s="4"/>
    </row>
    <row r="62" customFormat="false" ht="15" hidden="false" customHeight="false" outlineLevel="0" collapsed="false">
      <c r="E62" s="4"/>
      <c r="L62" s="4"/>
    </row>
    <row r="63" customFormat="false" ht="15" hidden="false" customHeight="false" outlineLevel="0" collapsed="false">
      <c r="E63" s="4"/>
      <c r="L63" s="4"/>
    </row>
    <row r="64" customFormat="false" ht="15" hidden="false" customHeight="false" outlineLevel="0" collapsed="false">
      <c r="E64" s="4"/>
      <c r="L64" s="4"/>
    </row>
    <row r="65" customFormat="false" ht="15" hidden="false" customHeight="false" outlineLevel="0" collapsed="false">
      <c r="E65" s="4"/>
      <c r="L65" s="4"/>
    </row>
    <row r="66" customFormat="false" ht="15" hidden="false" customHeight="false" outlineLevel="0" collapsed="false">
      <c r="E66" s="4"/>
      <c r="L66" s="4"/>
    </row>
    <row r="67" customFormat="false" ht="15" hidden="false" customHeight="false" outlineLevel="0" collapsed="false">
      <c r="E67" s="4"/>
      <c r="L67" s="4"/>
    </row>
    <row r="68" customFormat="false" ht="15" hidden="false" customHeight="false" outlineLevel="0" collapsed="false">
      <c r="E68" s="4"/>
      <c r="L68" s="4"/>
    </row>
    <row r="69" customFormat="false" ht="15" hidden="false" customHeight="false" outlineLevel="0" collapsed="false">
      <c r="E69" s="4"/>
      <c r="L69" s="4"/>
    </row>
    <row r="70" customFormat="false" ht="15" hidden="false" customHeight="false" outlineLevel="0" collapsed="false">
      <c r="E70" s="4"/>
      <c r="L70" s="4"/>
    </row>
    <row r="71" customFormat="false" ht="15" hidden="false" customHeight="false" outlineLevel="0" collapsed="false">
      <c r="E71" s="4"/>
      <c r="L71" s="4"/>
    </row>
    <row r="72" customFormat="false" ht="15" hidden="false" customHeight="false" outlineLevel="0" collapsed="false">
      <c r="E72" s="4"/>
      <c r="L72" s="4"/>
    </row>
    <row r="73" customFormat="false" ht="15" hidden="false" customHeight="false" outlineLevel="0" collapsed="false">
      <c r="E73" s="4"/>
      <c r="L73" s="4"/>
    </row>
    <row r="74" customFormat="false" ht="15" hidden="false" customHeight="false" outlineLevel="0" collapsed="false">
      <c r="E74" s="4"/>
      <c r="L74" s="4"/>
    </row>
    <row r="75" customFormat="false" ht="15" hidden="false" customHeight="false" outlineLevel="0" collapsed="false">
      <c r="E75" s="4"/>
      <c r="L75" s="4"/>
    </row>
    <row r="76" customFormat="false" ht="15" hidden="false" customHeight="false" outlineLevel="0" collapsed="false">
      <c r="E76" s="4"/>
      <c r="L76" s="4"/>
    </row>
    <row r="77" customFormat="false" ht="15" hidden="false" customHeight="false" outlineLevel="0" collapsed="false">
      <c r="E77" s="4"/>
      <c r="L77" s="4"/>
    </row>
    <row r="78" customFormat="false" ht="15" hidden="false" customHeight="false" outlineLevel="0" collapsed="false">
      <c r="E78" s="4"/>
      <c r="L78" s="4"/>
    </row>
    <row r="79" customFormat="false" ht="15" hidden="false" customHeight="false" outlineLevel="0" collapsed="false">
      <c r="E79" s="4"/>
      <c r="L79" s="4"/>
    </row>
    <row r="80" customFormat="false" ht="15" hidden="false" customHeight="false" outlineLevel="0" collapsed="false">
      <c r="E80" s="4"/>
      <c r="L80" s="4"/>
    </row>
    <row r="81" customFormat="false" ht="15" hidden="false" customHeight="false" outlineLevel="0" collapsed="false">
      <c r="E81" s="4"/>
      <c r="L81" s="4"/>
    </row>
    <row r="82" customFormat="false" ht="15" hidden="false" customHeight="false" outlineLevel="0" collapsed="false">
      <c r="E82" s="4"/>
      <c r="L82" s="4"/>
    </row>
    <row r="83" customFormat="false" ht="15" hidden="false" customHeight="false" outlineLevel="0" collapsed="false">
      <c r="E83" s="4"/>
      <c r="L83" s="4"/>
    </row>
    <row r="84" customFormat="false" ht="15" hidden="false" customHeight="false" outlineLevel="0" collapsed="false">
      <c r="E84" s="4"/>
      <c r="L84" s="4"/>
    </row>
    <row r="85" customFormat="false" ht="15" hidden="false" customHeight="false" outlineLevel="0" collapsed="false">
      <c r="E85" s="4"/>
      <c r="L85" s="4"/>
    </row>
    <row r="86" customFormat="false" ht="15" hidden="false" customHeight="false" outlineLevel="0" collapsed="false">
      <c r="E86" s="4"/>
      <c r="L86" s="4"/>
    </row>
    <row r="87" customFormat="false" ht="15" hidden="false" customHeight="false" outlineLevel="0" collapsed="false">
      <c r="E87" s="4"/>
      <c r="L87" s="4"/>
    </row>
    <row r="88" customFormat="false" ht="15" hidden="false" customHeight="false" outlineLevel="0" collapsed="false">
      <c r="E88" s="4"/>
      <c r="L88" s="4"/>
    </row>
    <row r="89" customFormat="false" ht="15" hidden="false" customHeight="false" outlineLevel="0" collapsed="false">
      <c r="E89" s="4"/>
      <c r="L89" s="4"/>
    </row>
    <row r="90" customFormat="false" ht="15" hidden="false" customHeight="false" outlineLevel="0" collapsed="false">
      <c r="E90" s="4"/>
      <c r="L90" s="4"/>
    </row>
    <row r="91" customFormat="false" ht="15" hidden="false" customHeight="false" outlineLevel="0" collapsed="false">
      <c r="E91" s="4"/>
      <c r="L91" s="4"/>
    </row>
    <row r="92" customFormat="false" ht="15" hidden="false" customHeight="false" outlineLevel="0" collapsed="false">
      <c r="E92" s="4"/>
      <c r="L92" s="4"/>
    </row>
    <row r="93" customFormat="false" ht="15" hidden="false" customHeight="false" outlineLevel="0" collapsed="false">
      <c r="E93" s="4"/>
      <c r="L93" s="4"/>
    </row>
    <row r="94" customFormat="false" ht="15" hidden="false" customHeight="false" outlineLevel="0" collapsed="false">
      <c r="E94" s="4"/>
      <c r="L94" s="4"/>
    </row>
    <row r="95" customFormat="false" ht="15" hidden="false" customHeight="false" outlineLevel="0" collapsed="false">
      <c r="E95" s="4"/>
      <c r="L95" s="4"/>
    </row>
    <row r="96" customFormat="false" ht="15" hidden="false" customHeight="false" outlineLevel="0" collapsed="false">
      <c r="E96" s="4"/>
      <c r="L96" s="4"/>
    </row>
    <row r="97" customFormat="false" ht="15" hidden="false" customHeight="false" outlineLevel="0" collapsed="false">
      <c r="E97" s="4"/>
      <c r="L97" s="4"/>
    </row>
    <row r="98" customFormat="false" ht="15" hidden="false" customHeight="false" outlineLevel="0" collapsed="false">
      <c r="E98" s="4"/>
      <c r="L98" s="4"/>
    </row>
    <row r="99" customFormat="false" ht="15" hidden="false" customHeight="false" outlineLevel="0" collapsed="false">
      <c r="E99" s="4"/>
      <c r="L99" s="4"/>
    </row>
    <row r="100" customFormat="false" ht="15" hidden="false" customHeight="false" outlineLevel="0" collapsed="false">
      <c r="E100" s="4"/>
      <c r="L100" s="4"/>
    </row>
    <row r="101" customFormat="false" ht="15" hidden="false" customHeight="false" outlineLevel="0" collapsed="false">
      <c r="E101" s="4"/>
      <c r="L101" s="4"/>
    </row>
    <row r="102" customFormat="false" ht="15" hidden="false" customHeight="false" outlineLevel="0" collapsed="false">
      <c r="E102" s="4"/>
      <c r="L102" s="4"/>
    </row>
    <row r="103" customFormat="false" ht="15" hidden="false" customHeight="false" outlineLevel="0" collapsed="false">
      <c r="E103" s="4"/>
      <c r="L103" s="4"/>
    </row>
    <row r="104" customFormat="false" ht="15" hidden="false" customHeight="false" outlineLevel="0" collapsed="false">
      <c r="E104" s="4"/>
      <c r="L104" s="4"/>
    </row>
    <row r="105" customFormat="false" ht="15" hidden="false" customHeight="false" outlineLevel="0" collapsed="false">
      <c r="E105" s="4"/>
      <c r="L105" s="4"/>
    </row>
    <row r="106" customFormat="false" ht="15" hidden="false" customHeight="false" outlineLevel="0" collapsed="false">
      <c r="E106" s="4"/>
      <c r="L106" s="4"/>
    </row>
    <row r="107" customFormat="false" ht="15" hidden="false" customHeight="false" outlineLevel="0" collapsed="false">
      <c r="E107" s="4"/>
      <c r="L107" s="4"/>
    </row>
    <row r="108" customFormat="false" ht="15" hidden="false" customHeight="false" outlineLevel="0" collapsed="false">
      <c r="E108" s="4"/>
      <c r="L108" s="4"/>
    </row>
    <row r="109" customFormat="false" ht="15" hidden="false" customHeight="false" outlineLevel="0" collapsed="false">
      <c r="E109" s="4"/>
      <c r="L109" s="4"/>
    </row>
    <row r="110" customFormat="false" ht="15" hidden="false" customHeight="false" outlineLevel="0" collapsed="false">
      <c r="E110" s="4"/>
      <c r="L110" s="4"/>
    </row>
    <row r="111" customFormat="false" ht="15" hidden="false" customHeight="false" outlineLevel="0" collapsed="false">
      <c r="E111" s="4"/>
      <c r="L111" s="4"/>
    </row>
    <row r="112" customFormat="false" ht="15" hidden="false" customHeight="false" outlineLevel="0" collapsed="false">
      <c r="E112" s="4"/>
      <c r="L112" s="4"/>
    </row>
    <row r="113" customFormat="false" ht="15" hidden="false" customHeight="false" outlineLevel="0" collapsed="false">
      <c r="E113" s="4"/>
      <c r="L113" s="4"/>
    </row>
    <row r="114" customFormat="false" ht="15" hidden="false" customHeight="false" outlineLevel="0" collapsed="false">
      <c r="E114" s="4"/>
      <c r="L114" s="4"/>
    </row>
    <row r="115" customFormat="false" ht="15" hidden="false" customHeight="false" outlineLevel="0" collapsed="false">
      <c r="E115" s="4"/>
      <c r="L115" s="4"/>
    </row>
    <row r="116" customFormat="false" ht="15" hidden="false" customHeight="false" outlineLevel="0" collapsed="false">
      <c r="E116" s="4"/>
      <c r="L116" s="4"/>
    </row>
    <row r="117" customFormat="false" ht="15" hidden="false" customHeight="false" outlineLevel="0" collapsed="false">
      <c r="E117" s="4"/>
      <c r="L117" s="4"/>
    </row>
    <row r="118" customFormat="false" ht="15" hidden="false" customHeight="false" outlineLevel="0" collapsed="false">
      <c r="E118" s="4"/>
      <c r="L118" s="4"/>
    </row>
    <row r="119" customFormat="false" ht="15" hidden="false" customHeight="false" outlineLevel="0" collapsed="false">
      <c r="E119" s="4"/>
      <c r="L119" s="4"/>
    </row>
    <row r="120" customFormat="false" ht="15" hidden="false" customHeight="false" outlineLevel="0" collapsed="false">
      <c r="E120" s="4"/>
      <c r="L120" s="4"/>
    </row>
    <row r="121" customFormat="false" ht="15" hidden="false" customHeight="false" outlineLevel="0" collapsed="false">
      <c r="E121" s="4"/>
      <c r="L121" s="4"/>
    </row>
    <row r="122" customFormat="false" ht="15" hidden="false" customHeight="false" outlineLevel="0" collapsed="false">
      <c r="E122" s="4"/>
      <c r="L122" s="4"/>
    </row>
    <row r="123" customFormat="false" ht="15" hidden="false" customHeight="false" outlineLevel="0" collapsed="false">
      <c r="E123" s="4"/>
      <c r="L123" s="4"/>
    </row>
    <row r="124" customFormat="false" ht="15" hidden="false" customHeight="false" outlineLevel="0" collapsed="false">
      <c r="E124" s="4"/>
      <c r="L124" s="4"/>
    </row>
    <row r="125" customFormat="false" ht="15" hidden="false" customHeight="false" outlineLevel="0" collapsed="false">
      <c r="E125" s="4"/>
      <c r="L125" s="4"/>
    </row>
    <row r="126" customFormat="false" ht="15" hidden="false" customHeight="false" outlineLevel="0" collapsed="false">
      <c r="E126" s="4"/>
      <c r="L126" s="4"/>
    </row>
    <row r="127" customFormat="false" ht="15" hidden="false" customHeight="false" outlineLevel="0" collapsed="false">
      <c r="E127" s="4"/>
      <c r="L127" s="4"/>
    </row>
    <row r="128" customFormat="false" ht="15" hidden="false" customHeight="false" outlineLevel="0" collapsed="false">
      <c r="E128" s="4"/>
      <c r="L128" s="4"/>
    </row>
    <row r="129" customFormat="false" ht="15" hidden="false" customHeight="false" outlineLevel="0" collapsed="false">
      <c r="E129" s="4"/>
      <c r="L129" s="4"/>
    </row>
    <row r="130" customFormat="false" ht="15" hidden="false" customHeight="false" outlineLevel="0" collapsed="false">
      <c r="E130" s="4"/>
      <c r="L130" s="4"/>
    </row>
    <row r="131" customFormat="false" ht="15" hidden="false" customHeight="false" outlineLevel="0" collapsed="false">
      <c r="E131" s="4"/>
      <c r="L131" s="4"/>
    </row>
    <row r="132" customFormat="false" ht="15" hidden="false" customHeight="false" outlineLevel="0" collapsed="false">
      <c r="E132" s="4"/>
      <c r="L132" s="4"/>
    </row>
    <row r="133" customFormat="false" ht="15" hidden="false" customHeight="false" outlineLevel="0" collapsed="false">
      <c r="E133" s="4"/>
      <c r="L133" s="4"/>
    </row>
    <row r="134" customFormat="false" ht="15" hidden="false" customHeight="false" outlineLevel="0" collapsed="false">
      <c r="E134" s="4"/>
      <c r="L134" s="4"/>
    </row>
    <row r="135" customFormat="false" ht="15" hidden="false" customHeight="false" outlineLevel="0" collapsed="false">
      <c r="E135" s="4"/>
      <c r="L135" s="4"/>
    </row>
    <row r="136" customFormat="false" ht="15" hidden="false" customHeight="false" outlineLevel="0" collapsed="false">
      <c r="E136" s="4"/>
      <c r="L136" s="4"/>
    </row>
    <row r="137" customFormat="false" ht="15" hidden="false" customHeight="false" outlineLevel="0" collapsed="false">
      <c r="E137" s="4"/>
      <c r="L137" s="4"/>
    </row>
    <row r="138" customFormat="false" ht="15" hidden="false" customHeight="false" outlineLevel="0" collapsed="false">
      <c r="E138" s="4"/>
      <c r="L138" s="4"/>
    </row>
    <row r="139" customFormat="false" ht="15" hidden="false" customHeight="false" outlineLevel="0" collapsed="false">
      <c r="E139" s="4"/>
      <c r="L139" s="4"/>
    </row>
    <row r="140" customFormat="false" ht="15" hidden="false" customHeight="false" outlineLevel="0" collapsed="false">
      <c r="E140" s="4"/>
      <c r="L140" s="4"/>
    </row>
    <row r="141" customFormat="false" ht="15" hidden="false" customHeight="false" outlineLevel="0" collapsed="false">
      <c r="E141" s="4"/>
      <c r="L141" s="4"/>
    </row>
    <row r="142" customFormat="false" ht="15" hidden="false" customHeight="false" outlineLevel="0" collapsed="false">
      <c r="E142" s="4"/>
      <c r="L142" s="4"/>
    </row>
    <row r="143" customFormat="false" ht="15" hidden="false" customHeight="false" outlineLevel="0" collapsed="false">
      <c r="E143" s="4"/>
      <c r="L143" s="4"/>
    </row>
    <row r="144" customFormat="false" ht="15" hidden="false" customHeight="false" outlineLevel="0" collapsed="false">
      <c r="E144" s="4"/>
      <c r="L144" s="4"/>
    </row>
    <row r="145" customFormat="false" ht="15" hidden="false" customHeight="false" outlineLevel="0" collapsed="false">
      <c r="E145" s="4"/>
      <c r="L145" s="4"/>
    </row>
    <row r="146" customFormat="false" ht="15" hidden="false" customHeight="false" outlineLevel="0" collapsed="false">
      <c r="E146" s="4"/>
      <c r="L146" s="4"/>
    </row>
    <row r="147" customFormat="false" ht="15" hidden="false" customHeight="false" outlineLevel="0" collapsed="false">
      <c r="E147" s="4"/>
      <c r="L147" s="4"/>
    </row>
    <row r="148" customFormat="false" ht="15" hidden="false" customHeight="false" outlineLevel="0" collapsed="false">
      <c r="E148" s="4"/>
      <c r="L148" s="4"/>
    </row>
    <row r="149" customFormat="false" ht="15" hidden="false" customHeight="false" outlineLevel="0" collapsed="false">
      <c r="E149" s="4"/>
      <c r="L149" s="4"/>
    </row>
    <row r="150" customFormat="false" ht="15" hidden="false" customHeight="false" outlineLevel="0" collapsed="false">
      <c r="E150" s="4"/>
      <c r="L150" s="4"/>
    </row>
    <row r="151" customFormat="false" ht="15" hidden="false" customHeight="false" outlineLevel="0" collapsed="false">
      <c r="E151" s="4"/>
      <c r="L151" s="4"/>
    </row>
    <row r="152" customFormat="false" ht="15" hidden="false" customHeight="false" outlineLevel="0" collapsed="false">
      <c r="E152" s="4"/>
      <c r="L152" s="4"/>
    </row>
    <row r="153" customFormat="false" ht="15" hidden="false" customHeight="false" outlineLevel="0" collapsed="false">
      <c r="E153" s="4"/>
      <c r="L153" s="4"/>
    </row>
    <row r="154" customFormat="false" ht="15" hidden="false" customHeight="false" outlineLevel="0" collapsed="false">
      <c r="E154" s="4"/>
      <c r="L154" s="4"/>
    </row>
    <row r="155" customFormat="false" ht="15" hidden="false" customHeight="false" outlineLevel="0" collapsed="false">
      <c r="E155" s="4"/>
      <c r="L155" s="4"/>
    </row>
    <row r="156" customFormat="false" ht="15" hidden="false" customHeight="false" outlineLevel="0" collapsed="false">
      <c r="E156" s="4"/>
      <c r="L156" s="4"/>
    </row>
    <row r="157" customFormat="false" ht="15" hidden="false" customHeight="false" outlineLevel="0" collapsed="false">
      <c r="E157" s="4"/>
      <c r="L157" s="4"/>
    </row>
    <row r="158" customFormat="false" ht="15" hidden="false" customHeight="false" outlineLevel="0" collapsed="false">
      <c r="E158" s="4"/>
      <c r="L158" s="4"/>
    </row>
    <row r="159" customFormat="false" ht="15" hidden="false" customHeight="false" outlineLevel="0" collapsed="false">
      <c r="E159" s="4"/>
      <c r="L159" s="4"/>
    </row>
    <row r="160" customFormat="false" ht="15" hidden="false" customHeight="false" outlineLevel="0" collapsed="false">
      <c r="E160" s="4"/>
      <c r="L160" s="4"/>
    </row>
    <row r="161" customFormat="false" ht="15" hidden="false" customHeight="false" outlineLevel="0" collapsed="false">
      <c r="E161" s="4"/>
      <c r="L161" s="4"/>
    </row>
    <row r="162" customFormat="false" ht="15" hidden="false" customHeight="false" outlineLevel="0" collapsed="false">
      <c r="E162" s="4"/>
      <c r="L162" s="4"/>
    </row>
    <row r="163" customFormat="false" ht="15" hidden="false" customHeight="false" outlineLevel="0" collapsed="false">
      <c r="E163" s="4"/>
      <c r="L163" s="4"/>
    </row>
    <row r="164" customFormat="false" ht="15" hidden="false" customHeight="false" outlineLevel="0" collapsed="false">
      <c r="E164" s="4"/>
      <c r="L164" s="4"/>
    </row>
    <row r="165" customFormat="false" ht="15" hidden="false" customHeight="false" outlineLevel="0" collapsed="false">
      <c r="E165" s="4"/>
      <c r="L165" s="4"/>
    </row>
    <row r="166" customFormat="false" ht="15" hidden="false" customHeight="false" outlineLevel="0" collapsed="false">
      <c r="E166" s="4"/>
      <c r="L166" s="4"/>
    </row>
    <row r="167" customFormat="false" ht="15" hidden="false" customHeight="false" outlineLevel="0" collapsed="false">
      <c r="E167" s="4"/>
      <c r="L167" s="4"/>
    </row>
    <row r="168" customFormat="false" ht="15" hidden="false" customHeight="false" outlineLevel="0" collapsed="false">
      <c r="E168" s="4"/>
      <c r="L168" s="4"/>
    </row>
    <row r="169" customFormat="false" ht="15" hidden="false" customHeight="false" outlineLevel="0" collapsed="false">
      <c r="E169" s="4"/>
      <c r="L169" s="4"/>
    </row>
    <row r="170" customFormat="false" ht="15" hidden="false" customHeight="false" outlineLevel="0" collapsed="false">
      <c r="E170" s="4"/>
      <c r="L170" s="4"/>
    </row>
    <row r="171" customFormat="false" ht="15" hidden="false" customHeight="false" outlineLevel="0" collapsed="false">
      <c r="E171" s="4"/>
      <c r="L171" s="4"/>
    </row>
    <row r="172" customFormat="false" ht="15" hidden="false" customHeight="false" outlineLevel="0" collapsed="false">
      <c r="E172" s="4"/>
      <c r="L172" s="4"/>
    </row>
    <row r="173" customFormat="false" ht="15" hidden="false" customHeight="false" outlineLevel="0" collapsed="false">
      <c r="E173" s="4"/>
      <c r="L173" s="4"/>
    </row>
    <row r="174" customFormat="false" ht="15" hidden="false" customHeight="false" outlineLevel="0" collapsed="false">
      <c r="E174" s="4"/>
      <c r="L174" s="4"/>
    </row>
    <row r="175" customFormat="false" ht="15" hidden="false" customHeight="false" outlineLevel="0" collapsed="false">
      <c r="E175" s="4"/>
      <c r="L175" s="4"/>
    </row>
    <row r="176" customFormat="false" ht="15" hidden="false" customHeight="false" outlineLevel="0" collapsed="false">
      <c r="E176" s="4"/>
      <c r="L176" s="4"/>
    </row>
    <row r="177" customFormat="false" ht="15" hidden="false" customHeight="false" outlineLevel="0" collapsed="false">
      <c r="E177" s="4"/>
      <c r="L177" s="4"/>
    </row>
    <row r="178" customFormat="false" ht="15" hidden="false" customHeight="false" outlineLevel="0" collapsed="false">
      <c r="E178" s="4"/>
      <c r="L178" s="4"/>
    </row>
    <row r="179" customFormat="false" ht="15" hidden="false" customHeight="false" outlineLevel="0" collapsed="false">
      <c r="E179" s="4"/>
      <c r="L179" s="4"/>
    </row>
    <row r="180" customFormat="false" ht="15" hidden="false" customHeight="false" outlineLevel="0" collapsed="false">
      <c r="E180" s="4"/>
      <c r="L180" s="4"/>
    </row>
    <row r="181" customFormat="false" ht="15" hidden="false" customHeight="false" outlineLevel="0" collapsed="false">
      <c r="E181" s="4"/>
      <c r="L181" s="4"/>
    </row>
    <row r="182" customFormat="false" ht="15" hidden="false" customHeight="false" outlineLevel="0" collapsed="false">
      <c r="E182" s="4"/>
      <c r="L182" s="4"/>
    </row>
    <row r="183" customFormat="false" ht="15" hidden="false" customHeight="false" outlineLevel="0" collapsed="false">
      <c r="E183" s="4"/>
      <c r="L183" s="4"/>
    </row>
    <row r="184" customFormat="false" ht="15" hidden="false" customHeight="false" outlineLevel="0" collapsed="false">
      <c r="E184" s="4"/>
      <c r="L184" s="4"/>
    </row>
    <row r="185" customFormat="false" ht="15" hidden="false" customHeight="false" outlineLevel="0" collapsed="false">
      <c r="E185" s="4"/>
      <c r="L185" s="4"/>
    </row>
    <row r="186" customFormat="false" ht="15" hidden="false" customHeight="false" outlineLevel="0" collapsed="false">
      <c r="E186" s="4"/>
      <c r="L186" s="4"/>
    </row>
    <row r="187" customFormat="false" ht="15" hidden="false" customHeight="false" outlineLevel="0" collapsed="false">
      <c r="E187" s="4"/>
      <c r="L187" s="4"/>
    </row>
    <row r="188" customFormat="false" ht="15" hidden="false" customHeight="false" outlineLevel="0" collapsed="false">
      <c r="E188" s="4"/>
      <c r="L188" s="4"/>
    </row>
    <row r="189" customFormat="false" ht="15" hidden="false" customHeight="false" outlineLevel="0" collapsed="false">
      <c r="E189" s="4"/>
      <c r="L189" s="4"/>
    </row>
    <row r="190" customFormat="false" ht="15" hidden="false" customHeight="false" outlineLevel="0" collapsed="false">
      <c r="E190" s="4"/>
      <c r="L190" s="4"/>
    </row>
    <row r="191" customFormat="false" ht="15" hidden="false" customHeight="false" outlineLevel="0" collapsed="false">
      <c r="E191" s="4"/>
      <c r="L191" s="4"/>
    </row>
    <row r="192" customFormat="false" ht="15" hidden="false" customHeight="false" outlineLevel="0" collapsed="false">
      <c r="E192" s="4"/>
      <c r="L192" s="4"/>
    </row>
    <row r="193" customFormat="false" ht="15" hidden="false" customHeight="false" outlineLevel="0" collapsed="false">
      <c r="E193" s="4"/>
      <c r="L193" s="4"/>
    </row>
    <row r="194" customFormat="false" ht="15" hidden="false" customHeight="false" outlineLevel="0" collapsed="false">
      <c r="E194" s="4"/>
      <c r="L194" s="4"/>
    </row>
    <row r="195" customFormat="false" ht="15" hidden="false" customHeight="false" outlineLevel="0" collapsed="false">
      <c r="E195" s="4"/>
      <c r="L195" s="4"/>
    </row>
    <row r="196" customFormat="false" ht="15" hidden="false" customHeight="false" outlineLevel="0" collapsed="false">
      <c r="E196" s="4"/>
      <c r="L196" s="4"/>
    </row>
    <row r="197" customFormat="false" ht="15" hidden="false" customHeight="false" outlineLevel="0" collapsed="false">
      <c r="E197" s="4"/>
      <c r="L197" s="4"/>
    </row>
    <row r="198" customFormat="false" ht="15" hidden="false" customHeight="false" outlineLevel="0" collapsed="false">
      <c r="E198" s="4"/>
      <c r="L198" s="4"/>
    </row>
    <row r="199" customFormat="false" ht="15" hidden="false" customHeight="false" outlineLevel="0" collapsed="false">
      <c r="E199" s="4"/>
      <c r="L199" s="4"/>
    </row>
    <row r="200" customFormat="false" ht="15" hidden="false" customHeight="false" outlineLevel="0" collapsed="false">
      <c r="E200" s="4"/>
      <c r="L200" s="4"/>
    </row>
    <row r="201" customFormat="false" ht="15" hidden="false" customHeight="false" outlineLevel="0" collapsed="false">
      <c r="E201" s="4"/>
      <c r="L201" s="4"/>
    </row>
    <row r="202" customFormat="false" ht="15" hidden="false" customHeight="false" outlineLevel="0" collapsed="false">
      <c r="E202" s="4"/>
      <c r="L202" s="4"/>
    </row>
    <row r="203" customFormat="false" ht="15" hidden="false" customHeight="false" outlineLevel="0" collapsed="false">
      <c r="E203" s="4"/>
      <c r="L203" s="4"/>
    </row>
    <row r="204" customFormat="false" ht="15" hidden="false" customHeight="false" outlineLevel="0" collapsed="false">
      <c r="E204" s="4"/>
      <c r="L204" s="4"/>
    </row>
    <row r="205" customFormat="false" ht="15" hidden="false" customHeight="false" outlineLevel="0" collapsed="false">
      <c r="E205" s="4"/>
      <c r="L205" s="4"/>
    </row>
    <row r="206" customFormat="false" ht="15" hidden="false" customHeight="false" outlineLevel="0" collapsed="false">
      <c r="E206" s="4"/>
      <c r="L206" s="4"/>
    </row>
    <row r="207" customFormat="false" ht="15" hidden="false" customHeight="false" outlineLevel="0" collapsed="false">
      <c r="E207" s="4"/>
      <c r="L207" s="4"/>
    </row>
    <row r="208" customFormat="false" ht="15" hidden="false" customHeight="false" outlineLevel="0" collapsed="false">
      <c r="E208" s="4"/>
      <c r="L208" s="4"/>
    </row>
    <row r="209" customFormat="false" ht="15" hidden="false" customHeight="false" outlineLevel="0" collapsed="false">
      <c r="E209" s="4"/>
      <c r="L209" s="4"/>
    </row>
    <row r="210" customFormat="false" ht="15" hidden="false" customHeight="false" outlineLevel="0" collapsed="false">
      <c r="E210" s="4"/>
      <c r="L210" s="4"/>
    </row>
    <row r="211" customFormat="false" ht="15" hidden="false" customHeight="false" outlineLevel="0" collapsed="false">
      <c r="E211" s="4"/>
      <c r="L211" s="4"/>
    </row>
    <row r="212" customFormat="false" ht="15" hidden="false" customHeight="false" outlineLevel="0" collapsed="false">
      <c r="E212" s="4"/>
      <c r="L212" s="4"/>
    </row>
    <row r="213" customFormat="false" ht="15" hidden="false" customHeight="false" outlineLevel="0" collapsed="false">
      <c r="E213" s="4"/>
      <c r="L213" s="4"/>
    </row>
    <row r="214" customFormat="false" ht="15" hidden="false" customHeight="false" outlineLevel="0" collapsed="false">
      <c r="E214" s="4"/>
      <c r="L214" s="4"/>
    </row>
    <row r="215" customFormat="false" ht="15" hidden="false" customHeight="false" outlineLevel="0" collapsed="false">
      <c r="E215" s="4"/>
      <c r="L215" s="4"/>
    </row>
    <row r="216" customFormat="false" ht="15" hidden="false" customHeight="false" outlineLevel="0" collapsed="false">
      <c r="E216" s="4"/>
      <c r="L216" s="4"/>
    </row>
    <row r="217" customFormat="false" ht="15" hidden="false" customHeight="false" outlineLevel="0" collapsed="false">
      <c r="E217" s="4"/>
      <c r="L217" s="4"/>
    </row>
    <row r="218" customFormat="false" ht="15" hidden="false" customHeight="false" outlineLevel="0" collapsed="false">
      <c r="E218" s="4"/>
      <c r="L218" s="4"/>
    </row>
    <row r="219" customFormat="false" ht="15" hidden="false" customHeight="false" outlineLevel="0" collapsed="false">
      <c r="E219" s="4"/>
      <c r="L219" s="4"/>
    </row>
    <row r="220" customFormat="false" ht="15" hidden="false" customHeight="false" outlineLevel="0" collapsed="false">
      <c r="E220" s="4"/>
      <c r="L220" s="4"/>
    </row>
    <row r="221" customFormat="false" ht="15" hidden="false" customHeight="false" outlineLevel="0" collapsed="false">
      <c r="E221" s="4"/>
      <c r="L221" s="4"/>
    </row>
    <row r="222" customFormat="false" ht="15" hidden="false" customHeight="false" outlineLevel="0" collapsed="false">
      <c r="E222" s="4"/>
      <c r="L222" s="4"/>
    </row>
    <row r="223" customFormat="false" ht="15" hidden="false" customHeight="false" outlineLevel="0" collapsed="false">
      <c r="E223" s="4"/>
      <c r="L223" s="4"/>
    </row>
    <row r="224" customFormat="false" ht="15" hidden="false" customHeight="false" outlineLevel="0" collapsed="false">
      <c r="E224" s="4"/>
      <c r="L224" s="4"/>
    </row>
    <row r="225" customFormat="false" ht="15" hidden="false" customHeight="false" outlineLevel="0" collapsed="false">
      <c r="E225" s="4"/>
      <c r="L225" s="4"/>
    </row>
    <row r="226" customFormat="false" ht="15" hidden="false" customHeight="false" outlineLevel="0" collapsed="false">
      <c r="E226" s="4"/>
      <c r="L226" s="4"/>
    </row>
    <row r="227" customFormat="false" ht="15" hidden="false" customHeight="false" outlineLevel="0" collapsed="false">
      <c r="E227" s="4"/>
      <c r="L227" s="4"/>
    </row>
    <row r="228" customFormat="false" ht="15" hidden="false" customHeight="false" outlineLevel="0" collapsed="false">
      <c r="E228" s="4"/>
      <c r="L228" s="4"/>
    </row>
    <row r="229" customFormat="false" ht="15" hidden="false" customHeight="false" outlineLevel="0" collapsed="false">
      <c r="E229" s="4"/>
      <c r="L229" s="4"/>
    </row>
    <row r="230" customFormat="false" ht="15" hidden="false" customHeight="false" outlineLevel="0" collapsed="false">
      <c r="E230" s="4"/>
      <c r="L230" s="4"/>
    </row>
    <row r="231" customFormat="false" ht="15" hidden="false" customHeight="false" outlineLevel="0" collapsed="false">
      <c r="E231" s="4"/>
      <c r="L231" s="4"/>
    </row>
    <row r="232" customFormat="false" ht="15" hidden="false" customHeight="false" outlineLevel="0" collapsed="false">
      <c r="E232" s="4"/>
      <c r="L232" s="4"/>
    </row>
    <row r="233" customFormat="false" ht="15" hidden="false" customHeight="false" outlineLevel="0" collapsed="false">
      <c r="E233" s="4"/>
      <c r="L233" s="4"/>
    </row>
    <row r="234" customFormat="false" ht="15" hidden="false" customHeight="false" outlineLevel="0" collapsed="false">
      <c r="E234" s="4"/>
      <c r="L234" s="4"/>
    </row>
    <row r="235" customFormat="false" ht="15" hidden="false" customHeight="false" outlineLevel="0" collapsed="false">
      <c r="E235" s="4"/>
      <c r="L235" s="4"/>
    </row>
    <row r="236" customFormat="false" ht="15" hidden="false" customHeight="false" outlineLevel="0" collapsed="false">
      <c r="E236" s="4"/>
      <c r="L236" s="4"/>
    </row>
    <row r="237" customFormat="false" ht="15" hidden="false" customHeight="false" outlineLevel="0" collapsed="false">
      <c r="E237" s="4"/>
      <c r="L237" s="4"/>
    </row>
    <row r="238" customFormat="false" ht="15" hidden="false" customHeight="false" outlineLevel="0" collapsed="false">
      <c r="E238" s="4"/>
      <c r="L238" s="4"/>
    </row>
    <row r="239" customFormat="false" ht="15" hidden="false" customHeight="false" outlineLevel="0" collapsed="false">
      <c r="E239" s="4"/>
      <c r="L239" s="4"/>
    </row>
    <row r="240" customFormat="false" ht="15" hidden="false" customHeight="false" outlineLevel="0" collapsed="false">
      <c r="E240" s="4"/>
      <c r="L240" s="4"/>
    </row>
    <row r="241" customFormat="false" ht="15" hidden="false" customHeight="false" outlineLevel="0" collapsed="false">
      <c r="E241" s="4"/>
      <c r="L241" s="4"/>
    </row>
    <row r="242" customFormat="false" ht="15" hidden="false" customHeight="false" outlineLevel="0" collapsed="false">
      <c r="E242" s="4"/>
      <c r="L242" s="4"/>
    </row>
    <row r="243" customFormat="false" ht="15" hidden="false" customHeight="false" outlineLevel="0" collapsed="false">
      <c r="E243" s="4"/>
      <c r="L243" s="4"/>
    </row>
    <row r="244" customFormat="false" ht="15" hidden="false" customHeight="false" outlineLevel="0" collapsed="false">
      <c r="E244" s="4"/>
      <c r="L244" s="4"/>
    </row>
    <row r="245" customFormat="false" ht="15" hidden="false" customHeight="false" outlineLevel="0" collapsed="false">
      <c r="E245" s="4"/>
      <c r="L245" s="4"/>
    </row>
    <row r="246" customFormat="false" ht="15" hidden="false" customHeight="false" outlineLevel="0" collapsed="false">
      <c r="E246" s="4"/>
      <c r="L246" s="4"/>
    </row>
    <row r="247" customFormat="false" ht="15" hidden="false" customHeight="false" outlineLevel="0" collapsed="false">
      <c r="E247" s="4"/>
      <c r="L247" s="4"/>
    </row>
    <row r="248" customFormat="false" ht="15" hidden="false" customHeight="false" outlineLevel="0" collapsed="false">
      <c r="E248" s="4"/>
      <c r="L248" s="4"/>
    </row>
    <row r="249" customFormat="false" ht="15" hidden="false" customHeight="false" outlineLevel="0" collapsed="false">
      <c r="E249" s="4"/>
      <c r="L249" s="4"/>
    </row>
    <row r="250" customFormat="false" ht="15" hidden="false" customHeight="false" outlineLevel="0" collapsed="false">
      <c r="E250" s="4"/>
      <c r="L250" s="4"/>
    </row>
    <row r="251" customFormat="false" ht="15" hidden="false" customHeight="false" outlineLevel="0" collapsed="false">
      <c r="E251" s="4"/>
      <c r="L251" s="4"/>
    </row>
    <row r="252" customFormat="false" ht="15" hidden="false" customHeight="false" outlineLevel="0" collapsed="false">
      <c r="E252" s="4"/>
      <c r="L252" s="4"/>
    </row>
    <row r="253" customFormat="false" ht="15" hidden="false" customHeight="false" outlineLevel="0" collapsed="false">
      <c r="E253" s="4"/>
      <c r="L253" s="4"/>
    </row>
    <row r="254" customFormat="false" ht="15" hidden="false" customHeight="false" outlineLevel="0" collapsed="false">
      <c r="E254" s="4"/>
      <c r="L254" s="4"/>
    </row>
    <row r="255" customFormat="false" ht="15" hidden="false" customHeight="false" outlineLevel="0" collapsed="false">
      <c r="E255" s="4"/>
      <c r="L255" s="4"/>
    </row>
    <row r="256" customFormat="false" ht="15" hidden="false" customHeight="false" outlineLevel="0" collapsed="false">
      <c r="E256" s="4"/>
      <c r="L256" s="4"/>
    </row>
    <row r="257" customFormat="false" ht="15" hidden="false" customHeight="false" outlineLevel="0" collapsed="false">
      <c r="E257" s="4"/>
      <c r="L257" s="4"/>
    </row>
    <row r="258" customFormat="false" ht="15" hidden="false" customHeight="false" outlineLevel="0" collapsed="false">
      <c r="E258" s="4"/>
      <c r="L258" s="4"/>
    </row>
    <row r="259" customFormat="false" ht="15" hidden="false" customHeight="false" outlineLevel="0" collapsed="false">
      <c r="E259" s="4"/>
      <c r="L259" s="4"/>
    </row>
    <row r="260" customFormat="false" ht="15" hidden="false" customHeight="false" outlineLevel="0" collapsed="false">
      <c r="E260" s="4"/>
      <c r="L260" s="4"/>
    </row>
    <row r="261" customFormat="false" ht="15" hidden="false" customHeight="false" outlineLevel="0" collapsed="false">
      <c r="E261" s="4"/>
      <c r="L261" s="4"/>
    </row>
    <row r="262" customFormat="false" ht="15" hidden="false" customHeight="false" outlineLevel="0" collapsed="false">
      <c r="E262" s="4"/>
      <c r="L262" s="4"/>
    </row>
    <row r="263" customFormat="false" ht="15" hidden="false" customHeight="false" outlineLevel="0" collapsed="false">
      <c r="E263" s="4"/>
      <c r="L263" s="4"/>
    </row>
    <row r="264" customFormat="false" ht="15" hidden="false" customHeight="false" outlineLevel="0" collapsed="false">
      <c r="E264" s="4"/>
      <c r="L264" s="4"/>
    </row>
    <row r="265" customFormat="false" ht="15" hidden="false" customHeight="false" outlineLevel="0" collapsed="false">
      <c r="E265" s="4"/>
      <c r="L265" s="4"/>
    </row>
    <row r="266" customFormat="false" ht="15" hidden="false" customHeight="false" outlineLevel="0" collapsed="false">
      <c r="E266" s="4"/>
      <c r="L266" s="4"/>
    </row>
    <row r="267" customFormat="false" ht="15" hidden="false" customHeight="false" outlineLevel="0" collapsed="false">
      <c r="E267" s="4"/>
      <c r="L267" s="4"/>
    </row>
    <row r="268" customFormat="false" ht="15" hidden="false" customHeight="false" outlineLevel="0" collapsed="false">
      <c r="E268" s="4"/>
      <c r="L268" s="4"/>
    </row>
    <row r="269" customFormat="false" ht="15" hidden="false" customHeight="false" outlineLevel="0" collapsed="false">
      <c r="E269" s="4"/>
      <c r="L269" s="4"/>
    </row>
    <row r="270" customFormat="false" ht="15" hidden="false" customHeight="false" outlineLevel="0" collapsed="false">
      <c r="E270" s="4"/>
      <c r="L270" s="4"/>
    </row>
    <row r="271" customFormat="false" ht="15" hidden="false" customHeight="false" outlineLevel="0" collapsed="false">
      <c r="E271" s="4"/>
      <c r="L271" s="4"/>
    </row>
    <row r="272" customFormat="false" ht="15" hidden="false" customHeight="false" outlineLevel="0" collapsed="false">
      <c r="E272" s="4"/>
      <c r="L272" s="4"/>
    </row>
    <row r="273" customFormat="false" ht="15" hidden="false" customHeight="false" outlineLevel="0" collapsed="false">
      <c r="E273" s="4"/>
      <c r="L273" s="4"/>
    </row>
    <row r="274" customFormat="false" ht="15" hidden="false" customHeight="false" outlineLevel="0" collapsed="false">
      <c r="E274" s="4"/>
      <c r="L274" s="4"/>
    </row>
    <row r="275" customFormat="false" ht="15" hidden="false" customHeight="false" outlineLevel="0" collapsed="false">
      <c r="E275" s="4"/>
      <c r="L275" s="4"/>
    </row>
    <row r="276" customFormat="false" ht="15" hidden="false" customHeight="false" outlineLevel="0" collapsed="false">
      <c r="E276" s="4"/>
      <c r="L276" s="4"/>
    </row>
    <row r="277" customFormat="false" ht="15" hidden="false" customHeight="false" outlineLevel="0" collapsed="false">
      <c r="E277" s="4"/>
      <c r="L277" s="4"/>
    </row>
    <row r="278" customFormat="false" ht="15" hidden="false" customHeight="false" outlineLevel="0" collapsed="false">
      <c r="E278" s="4"/>
      <c r="L278" s="4"/>
    </row>
    <row r="279" customFormat="false" ht="15" hidden="false" customHeight="false" outlineLevel="0" collapsed="false">
      <c r="E279" s="4"/>
      <c r="L279" s="4"/>
    </row>
    <row r="280" customFormat="false" ht="15" hidden="false" customHeight="false" outlineLevel="0" collapsed="false">
      <c r="E280" s="4"/>
      <c r="L280" s="4"/>
    </row>
    <row r="281" customFormat="false" ht="15" hidden="false" customHeight="false" outlineLevel="0" collapsed="false">
      <c r="E281" s="4"/>
      <c r="L281" s="4"/>
    </row>
    <row r="282" customFormat="false" ht="15" hidden="false" customHeight="false" outlineLevel="0" collapsed="false">
      <c r="E282" s="4"/>
      <c r="L282" s="4"/>
    </row>
    <row r="283" customFormat="false" ht="15" hidden="false" customHeight="false" outlineLevel="0" collapsed="false">
      <c r="E283" s="4"/>
      <c r="L283" s="4"/>
    </row>
    <row r="284" customFormat="false" ht="15" hidden="false" customHeight="false" outlineLevel="0" collapsed="false">
      <c r="E284" s="4"/>
      <c r="L284" s="4"/>
    </row>
    <row r="285" customFormat="false" ht="15" hidden="false" customHeight="false" outlineLevel="0" collapsed="false">
      <c r="E285" s="4"/>
      <c r="L285" s="4"/>
    </row>
    <row r="286" customFormat="false" ht="15" hidden="false" customHeight="false" outlineLevel="0" collapsed="false">
      <c r="E286" s="4"/>
      <c r="L286" s="4"/>
    </row>
    <row r="287" customFormat="false" ht="15" hidden="false" customHeight="false" outlineLevel="0" collapsed="false">
      <c r="E287" s="4"/>
      <c r="L287" s="4"/>
    </row>
    <row r="288" customFormat="false" ht="15" hidden="false" customHeight="false" outlineLevel="0" collapsed="false">
      <c r="E288" s="4"/>
      <c r="L288" s="4"/>
    </row>
    <row r="289" customFormat="false" ht="15" hidden="false" customHeight="false" outlineLevel="0" collapsed="false">
      <c r="E289" s="4"/>
      <c r="L289" s="4"/>
    </row>
    <row r="290" customFormat="false" ht="15" hidden="false" customHeight="false" outlineLevel="0" collapsed="false">
      <c r="E290" s="4"/>
      <c r="L290" s="4"/>
    </row>
    <row r="291" customFormat="false" ht="15" hidden="false" customHeight="false" outlineLevel="0" collapsed="false">
      <c r="E291" s="4"/>
      <c r="L291" s="4"/>
    </row>
    <row r="292" customFormat="false" ht="15" hidden="false" customHeight="false" outlineLevel="0" collapsed="false">
      <c r="E292" s="4"/>
      <c r="L292" s="4"/>
    </row>
    <row r="293" customFormat="false" ht="15" hidden="false" customHeight="false" outlineLevel="0" collapsed="false">
      <c r="E293" s="4"/>
      <c r="L293" s="4"/>
    </row>
    <row r="294" customFormat="false" ht="15" hidden="false" customHeight="false" outlineLevel="0" collapsed="false">
      <c r="E294" s="4"/>
      <c r="L294" s="4"/>
    </row>
    <row r="295" customFormat="false" ht="15" hidden="false" customHeight="false" outlineLevel="0" collapsed="false">
      <c r="E295" s="4"/>
      <c r="L295" s="4"/>
    </row>
    <row r="296" customFormat="false" ht="15" hidden="false" customHeight="false" outlineLevel="0" collapsed="false">
      <c r="E296" s="4"/>
      <c r="L296" s="4"/>
    </row>
    <row r="297" customFormat="false" ht="15" hidden="false" customHeight="false" outlineLevel="0" collapsed="false">
      <c r="E297" s="4"/>
      <c r="L297" s="4"/>
    </row>
    <row r="298" customFormat="false" ht="15" hidden="false" customHeight="false" outlineLevel="0" collapsed="false">
      <c r="E298" s="4"/>
      <c r="L298" s="4"/>
    </row>
    <row r="299" customFormat="false" ht="15" hidden="false" customHeight="false" outlineLevel="0" collapsed="false">
      <c r="E299" s="4"/>
      <c r="L299" s="4"/>
    </row>
    <row r="300" customFormat="false" ht="15" hidden="false" customHeight="false" outlineLevel="0" collapsed="false">
      <c r="E300" s="4"/>
      <c r="L300" s="4"/>
    </row>
    <row r="301" customFormat="false" ht="15" hidden="false" customHeight="false" outlineLevel="0" collapsed="false">
      <c r="E301" s="4"/>
      <c r="L301" s="4"/>
    </row>
    <row r="302" customFormat="false" ht="15" hidden="false" customHeight="false" outlineLevel="0" collapsed="false">
      <c r="E302" s="4"/>
      <c r="L302" s="4"/>
    </row>
    <row r="303" customFormat="false" ht="15" hidden="false" customHeight="false" outlineLevel="0" collapsed="false">
      <c r="E303" s="4"/>
      <c r="L303" s="4"/>
    </row>
    <row r="304" customFormat="false" ht="15" hidden="false" customHeight="false" outlineLevel="0" collapsed="false">
      <c r="E304" s="4"/>
      <c r="L304" s="4"/>
    </row>
    <row r="305" customFormat="false" ht="15" hidden="false" customHeight="false" outlineLevel="0" collapsed="false">
      <c r="E305" s="4"/>
      <c r="L305" s="4"/>
    </row>
    <row r="306" customFormat="false" ht="15" hidden="false" customHeight="false" outlineLevel="0" collapsed="false">
      <c r="E306" s="4"/>
      <c r="L306" s="4"/>
    </row>
    <row r="307" customFormat="false" ht="15" hidden="false" customHeight="false" outlineLevel="0" collapsed="false">
      <c r="E307" s="4"/>
      <c r="L307" s="4"/>
    </row>
    <row r="308" customFormat="false" ht="15" hidden="false" customHeight="false" outlineLevel="0" collapsed="false">
      <c r="E308" s="4"/>
      <c r="L308" s="4"/>
    </row>
    <row r="309" customFormat="false" ht="15" hidden="false" customHeight="false" outlineLevel="0" collapsed="false">
      <c r="E309" s="4"/>
      <c r="L309" s="4"/>
    </row>
    <row r="310" customFormat="false" ht="15" hidden="false" customHeight="false" outlineLevel="0" collapsed="false">
      <c r="E310" s="4"/>
      <c r="L310" s="4"/>
    </row>
    <row r="311" customFormat="false" ht="15" hidden="false" customHeight="false" outlineLevel="0" collapsed="false">
      <c r="E311" s="4"/>
      <c r="L311" s="4"/>
    </row>
    <row r="312" customFormat="false" ht="15" hidden="false" customHeight="false" outlineLevel="0" collapsed="false">
      <c r="E312" s="4"/>
      <c r="L312" s="4"/>
    </row>
    <row r="313" customFormat="false" ht="15" hidden="false" customHeight="false" outlineLevel="0" collapsed="false">
      <c r="E313" s="4"/>
      <c r="L313" s="4"/>
    </row>
    <row r="314" customFormat="false" ht="15" hidden="false" customHeight="false" outlineLevel="0" collapsed="false">
      <c r="E314" s="4"/>
      <c r="L314" s="4"/>
    </row>
    <row r="315" customFormat="false" ht="15" hidden="false" customHeight="false" outlineLevel="0" collapsed="false">
      <c r="E315" s="4"/>
      <c r="L315" s="4"/>
    </row>
    <row r="316" customFormat="false" ht="15" hidden="false" customHeight="false" outlineLevel="0" collapsed="false">
      <c r="E316" s="4"/>
      <c r="L316" s="4"/>
    </row>
    <row r="317" customFormat="false" ht="15" hidden="false" customHeight="false" outlineLevel="0" collapsed="false">
      <c r="E317" s="4"/>
      <c r="L317" s="4"/>
    </row>
    <row r="318" customFormat="false" ht="15" hidden="false" customHeight="false" outlineLevel="0" collapsed="false">
      <c r="E318" s="4"/>
      <c r="L318" s="4"/>
    </row>
    <row r="319" customFormat="false" ht="15" hidden="false" customHeight="false" outlineLevel="0" collapsed="false">
      <c r="E319" s="4"/>
      <c r="L319" s="4"/>
    </row>
    <row r="320" customFormat="false" ht="15" hidden="false" customHeight="false" outlineLevel="0" collapsed="false">
      <c r="E320" s="4"/>
      <c r="L320" s="4"/>
    </row>
    <row r="321" customFormat="false" ht="15" hidden="false" customHeight="false" outlineLevel="0" collapsed="false">
      <c r="E321" s="4"/>
      <c r="L321" s="4"/>
    </row>
    <row r="322" customFormat="false" ht="15" hidden="false" customHeight="false" outlineLevel="0" collapsed="false">
      <c r="E322" s="4"/>
      <c r="L322" s="4"/>
    </row>
    <row r="323" customFormat="false" ht="15" hidden="false" customHeight="false" outlineLevel="0" collapsed="false">
      <c r="E323" s="4"/>
      <c r="L323" s="4"/>
    </row>
    <row r="324" customFormat="false" ht="15" hidden="false" customHeight="false" outlineLevel="0" collapsed="false">
      <c r="E324" s="4"/>
      <c r="L324" s="4"/>
    </row>
    <row r="325" customFormat="false" ht="15" hidden="false" customHeight="false" outlineLevel="0" collapsed="false">
      <c r="E325" s="4"/>
      <c r="L325" s="4"/>
    </row>
    <row r="326" customFormat="false" ht="15" hidden="false" customHeight="false" outlineLevel="0" collapsed="false">
      <c r="E326" s="4"/>
      <c r="L326" s="4"/>
    </row>
    <row r="327" customFormat="false" ht="15" hidden="false" customHeight="false" outlineLevel="0" collapsed="false">
      <c r="E327" s="4"/>
      <c r="L327" s="4"/>
    </row>
    <row r="328" customFormat="false" ht="15" hidden="false" customHeight="false" outlineLevel="0" collapsed="false">
      <c r="E328" s="4"/>
      <c r="L328" s="4"/>
    </row>
    <row r="329" customFormat="false" ht="15" hidden="false" customHeight="false" outlineLevel="0" collapsed="false">
      <c r="E329" s="4"/>
      <c r="L329" s="4"/>
    </row>
    <row r="330" customFormat="false" ht="15" hidden="false" customHeight="false" outlineLevel="0" collapsed="false">
      <c r="E330" s="4"/>
      <c r="L330" s="4"/>
    </row>
    <row r="331" customFormat="false" ht="15" hidden="false" customHeight="false" outlineLevel="0" collapsed="false">
      <c r="E331" s="4"/>
      <c r="L331" s="4"/>
    </row>
    <row r="332" customFormat="false" ht="15" hidden="false" customHeight="false" outlineLevel="0" collapsed="false">
      <c r="E332" s="4"/>
      <c r="L332" s="4"/>
    </row>
    <row r="333" customFormat="false" ht="15" hidden="false" customHeight="false" outlineLevel="0" collapsed="false">
      <c r="E333" s="4"/>
      <c r="L333" s="4"/>
    </row>
    <row r="334" customFormat="false" ht="15" hidden="false" customHeight="false" outlineLevel="0" collapsed="false">
      <c r="E334" s="4"/>
      <c r="L334" s="4"/>
    </row>
    <row r="335" customFormat="false" ht="15" hidden="false" customHeight="false" outlineLevel="0" collapsed="false">
      <c r="E335" s="4"/>
      <c r="L335" s="4"/>
    </row>
    <row r="336" customFormat="false" ht="15" hidden="false" customHeight="false" outlineLevel="0" collapsed="false">
      <c r="E336" s="4"/>
      <c r="L336" s="4"/>
    </row>
    <row r="337" customFormat="false" ht="15" hidden="false" customHeight="false" outlineLevel="0" collapsed="false">
      <c r="E337" s="4"/>
      <c r="L337" s="4"/>
    </row>
    <row r="338" customFormat="false" ht="15" hidden="false" customHeight="false" outlineLevel="0" collapsed="false">
      <c r="E338" s="4"/>
      <c r="L338" s="4"/>
    </row>
    <row r="339" customFormat="false" ht="15" hidden="false" customHeight="false" outlineLevel="0" collapsed="false">
      <c r="E339" s="4"/>
      <c r="L339" s="4"/>
    </row>
    <row r="340" customFormat="false" ht="15" hidden="false" customHeight="false" outlineLevel="0" collapsed="false">
      <c r="E340" s="4"/>
      <c r="L340" s="4"/>
    </row>
    <row r="341" customFormat="false" ht="15" hidden="false" customHeight="false" outlineLevel="0" collapsed="false">
      <c r="E341" s="4"/>
      <c r="L341" s="4"/>
    </row>
    <row r="342" customFormat="false" ht="15" hidden="false" customHeight="false" outlineLevel="0" collapsed="false">
      <c r="E342" s="4"/>
      <c r="L342" s="4"/>
    </row>
    <row r="343" customFormat="false" ht="15" hidden="false" customHeight="false" outlineLevel="0" collapsed="false">
      <c r="E343" s="4"/>
      <c r="L343" s="4"/>
    </row>
    <row r="344" customFormat="false" ht="15" hidden="false" customHeight="false" outlineLevel="0" collapsed="false">
      <c r="E344" s="4"/>
      <c r="L344" s="4"/>
    </row>
    <row r="345" customFormat="false" ht="15" hidden="false" customHeight="false" outlineLevel="0" collapsed="false">
      <c r="E345" s="4"/>
      <c r="L345" s="4"/>
    </row>
    <row r="346" customFormat="false" ht="15" hidden="false" customHeight="false" outlineLevel="0" collapsed="false">
      <c r="E346" s="4"/>
      <c r="L346" s="4"/>
    </row>
    <row r="347" customFormat="false" ht="15" hidden="false" customHeight="false" outlineLevel="0" collapsed="false">
      <c r="E347" s="4"/>
      <c r="L347" s="4"/>
    </row>
    <row r="348" customFormat="false" ht="15" hidden="false" customHeight="false" outlineLevel="0" collapsed="false">
      <c r="E348" s="4"/>
      <c r="L348" s="4"/>
    </row>
    <row r="349" customFormat="false" ht="15" hidden="false" customHeight="false" outlineLevel="0" collapsed="false">
      <c r="E349" s="4"/>
      <c r="L349" s="4"/>
    </row>
    <row r="350" customFormat="false" ht="15" hidden="false" customHeight="false" outlineLevel="0" collapsed="false">
      <c r="E350" s="4"/>
      <c r="L350" s="4"/>
    </row>
    <row r="351" customFormat="false" ht="15" hidden="false" customHeight="false" outlineLevel="0" collapsed="false">
      <c r="E351" s="4"/>
      <c r="L351" s="4"/>
    </row>
    <row r="352" customFormat="false" ht="15" hidden="false" customHeight="false" outlineLevel="0" collapsed="false">
      <c r="E352" s="4"/>
      <c r="L352" s="4"/>
    </row>
    <row r="353" customFormat="false" ht="15" hidden="false" customHeight="false" outlineLevel="0" collapsed="false">
      <c r="E353" s="4"/>
      <c r="L353" s="4"/>
    </row>
    <row r="354" customFormat="false" ht="15" hidden="false" customHeight="false" outlineLevel="0" collapsed="false">
      <c r="E354" s="4"/>
      <c r="L354" s="4"/>
    </row>
    <row r="355" customFormat="false" ht="15" hidden="false" customHeight="false" outlineLevel="0" collapsed="false">
      <c r="E355" s="4"/>
      <c r="L355" s="4"/>
    </row>
    <row r="356" customFormat="false" ht="15" hidden="false" customHeight="false" outlineLevel="0" collapsed="false">
      <c r="E356" s="4"/>
      <c r="L356" s="4"/>
    </row>
    <row r="357" customFormat="false" ht="15" hidden="false" customHeight="false" outlineLevel="0" collapsed="false">
      <c r="E357" s="4"/>
      <c r="L357" s="4"/>
    </row>
    <row r="358" customFormat="false" ht="15" hidden="false" customHeight="false" outlineLevel="0" collapsed="false">
      <c r="E358" s="4"/>
      <c r="L358" s="4"/>
    </row>
    <row r="359" customFormat="false" ht="15" hidden="false" customHeight="false" outlineLevel="0" collapsed="false">
      <c r="E359" s="4"/>
      <c r="L359" s="4"/>
    </row>
    <row r="360" customFormat="false" ht="15" hidden="false" customHeight="false" outlineLevel="0" collapsed="false">
      <c r="E360" s="4"/>
      <c r="L360" s="4"/>
    </row>
    <row r="361" customFormat="false" ht="15" hidden="false" customHeight="false" outlineLevel="0" collapsed="false">
      <c r="E361" s="4"/>
      <c r="L361" s="4"/>
    </row>
    <row r="362" customFormat="false" ht="15" hidden="false" customHeight="false" outlineLevel="0" collapsed="false">
      <c r="E362" s="4"/>
      <c r="L362" s="4"/>
    </row>
    <row r="363" customFormat="false" ht="15" hidden="false" customHeight="false" outlineLevel="0" collapsed="false">
      <c r="E363" s="4"/>
      <c r="L363" s="4"/>
    </row>
    <row r="364" customFormat="false" ht="15" hidden="false" customHeight="false" outlineLevel="0" collapsed="false">
      <c r="E364" s="4"/>
      <c r="L364" s="4"/>
    </row>
    <row r="365" customFormat="false" ht="15" hidden="false" customHeight="false" outlineLevel="0" collapsed="false">
      <c r="E365" s="4"/>
      <c r="L365" s="4"/>
    </row>
    <row r="366" customFormat="false" ht="15" hidden="false" customHeight="false" outlineLevel="0" collapsed="false">
      <c r="E366" s="4"/>
      <c r="L366" s="4"/>
    </row>
    <row r="367" customFormat="false" ht="15" hidden="false" customHeight="false" outlineLevel="0" collapsed="false">
      <c r="E367" s="4"/>
      <c r="L367" s="4"/>
    </row>
    <row r="368" customFormat="false" ht="15" hidden="false" customHeight="false" outlineLevel="0" collapsed="false">
      <c r="E368" s="4"/>
      <c r="L368" s="4"/>
    </row>
    <row r="369" customFormat="false" ht="15" hidden="false" customHeight="false" outlineLevel="0" collapsed="false">
      <c r="E369" s="4"/>
      <c r="L369" s="4"/>
    </row>
    <row r="370" customFormat="false" ht="15" hidden="false" customHeight="false" outlineLevel="0" collapsed="false">
      <c r="E370" s="4"/>
      <c r="L370" s="4"/>
    </row>
    <row r="371" customFormat="false" ht="15" hidden="false" customHeight="false" outlineLevel="0" collapsed="false">
      <c r="E371" s="4"/>
      <c r="L371" s="4"/>
    </row>
    <row r="372" customFormat="false" ht="15" hidden="false" customHeight="false" outlineLevel="0" collapsed="false">
      <c r="E372" s="4"/>
      <c r="L372" s="4"/>
    </row>
    <row r="373" customFormat="false" ht="15" hidden="false" customHeight="false" outlineLevel="0" collapsed="false">
      <c r="E373" s="4"/>
      <c r="L373" s="4"/>
    </row>
    <row r="374" customFormat="false" ht="15" hidden="false" customHeight="false" outlineLevel="0" collapsed="false">
      <c r="E374" s="4"/>
      <c r="L374" s="4"/>
    </row>
    <row r="375" customFormat="false" ht="15" hidden="false" customHeight="false" outlineLevel="0" collapsed="false">
      <c r="E375" s="4"/>
      <c r="L375" s="4"/>
    </row>
    <row r="376" customFormat="false" ht="15" hidden="false" customHeight="false" outlineLevel="0" collapsed="false">
      <c r="E376" s="4"/>
      <c r="L376" s="4"/>
    </row>
    <row r="377" customFormat="false" ht="15" hidden="false" customHeight="false" outlineLevel="0" collapsed="false">
      <c r="E377" s="4"/>
      <c r="L377" s="4"/>
    </row>
    <row r="378" customFormat="false" ht="15" hidden="false" customHeight="false" outlineLevel="0" collapsed="false">
      <c r="E378" s="4"/>
      <c r="L378" s="4"/>
    </row>
    <row r="379" customFormat="false" ht="15" hidden="false" customHeight="false" outlineLevel="0" collapsed="false">
      <c r="E379" s="4"/>
      <c r="L379" s="4"/>
    </row>
    <row r="380" customFormat="false" ht="15" hidden="false" customHeight="false" outlineLevel="0" collapsed="false">
      <c r="E380" s="4"/>
      <c r="L380" s="4"/>
    </row>
    <row r="381" customFormat="false" ht="15" hidden="false" customHeight="false" outlineLevel="0" collapsed="false">
      <c r="E381" s="4"/>
      <c r="L381" s="4"/>
    </row>
    <row r="382" customFormat="false" ht="15" hidden="false" customHeight="false" outlineLevel="0" collapsed="false">
      <c r="E382" s="4"/>
      <c r="L382" s="4"/>
    </row>
    <row r="383" customFormat="false" ht="15" hidden="false" customHeight="false" outlineLevel="0" collapsed="false">
      <c r="E383" s="4"/>
      <c r="L383" s="4"/>
    </row>
    <row r="384" customFormat="false" ht="15" hidden="false" customHeight="false" outlineLevel="0" collapsed="false">
      <c r="E384" s="4"/>
      <c r="L384" s="4"/>
    </row>
    <row r="385" customFormat="false" ht="15" hidden="false" customHeight="false" outlineLevel="0" collapsed="false">
      <c r="E385" s="4"/>
      <c r="L385" s="4"/>
    </row>
    <row r="386" customFormat="false" ht="15" hidden="false" customHeight="false" outlineLevel="0" collapsed="false">
      <c r="E386" s="4"/>
      <c r="L386" s="4"/>
    </row>
    <row r="387" customFormat="false" ht="15" hidden="false" customHeight="false" outlineLevel="0" collapsed="false">
      <c r="E387" s="4"/>
      <c r="L387" s="4"/>
    </row>
    <row r="388" customFormat="false" ht="15" hidden="false" customHeight="false" outlineLevel="0" collapsed="false">
      <c r="E388" s="4"/>
      <c r="L388" s="4"/>
    </row>
    <row r="389" customFormat="false" ht="15" hidden="false" customHeight="false" outlineLevel="0" collapsed="false">
      <c r="E389" s="4"/>
      <c r="L389" s="4"/>
    </row>
    <row r="390" customFormat="false" ht="15" hidden="false" customHeight="false" outlineLevel="0" collapsed="false">
      <c r="E390" s="4"/>
      <c r="L390" s="4"/>
    </row>
    <row r="391" customFormat="false" ht="15" hidden="false" customHeight="false" outlineLevel="0" collapsed="false">
      <c r="E391" s="4"/>
      <c r="L391" s="4"/>
    </row>
    <row r="392" customFormat="false" ht="15" hidden="false" customHeight="false" outlineLevel="0" collapsed="false">
      <c r="E392" s="4"/>
      <c r="L392" s="4"/>
    </row>
    <row r="393" customFormat="false" ht="15" hidden="false" customHeight="false" outlineLevel="0" collapsed="false">
      <c r="E393" s="4"/>
      <c r="L393" s="4"/>
    </row>
    <row r="394" customFormat="false" ht="15" hidden="false" customHeight="false" outlineLevel="0" collapsed="false">
      <c r="E394" s="4"/>
      <c r="L394" s="4"/>
    </row>
    <row r="395" customFormat="false" ht="15" hidden="false" customHeight="false" outlineLevel="0" collapsed="false">
      <c r="E395" s="4"/>
      <c r="L395" s="4"/>
    </row>
    <row r="396" customFormat="false" ht="15" hidden="false" customHeight="false" outlineLevel="0" collapsed="false">
      <c r="E396" s="4"/>
      <c r="L396" s="4"/>
    </row>
    <row r="397" customFormat="false" ht="15" hidden="false" customHeight="false" outlineLevel="0" collapsed="false">
      <c r="E397" s="4"/>
      <c r="L397" s="4"/>
    </row>
    <row r="398" customFormat="false" ht="15" hidden="false" customHeight="false" outlineLevel="0" collapsed="false">
      <c r="E398" s="4"/>
      <c r="L398" s="4"/>
    </row>
    <row r="399" customFormat="false" ht="15" hidden="false" customHeight="false" outlineLevel="0" collapsed="false">
      <c r="E399" s="4"/>
      <c r="L399" s="4"/>
    </row>
    <row r="400" customFormat="false" ht="15" hidden="false" customHeight="false" outlineLevel="0" collapsed="false">
      <c r="E400" s="4"/>
      <c r="L400" s="4"/>
    </row>
    <row r="401" customFormat="false" ht="15" hidden="false" customHeight="false" outlineLevel="0" collapsed="false">
      <c r="E401" s="4"/>
      <c r="L401" s="4"/>
    </row>
    <row r="402" customFormat="false" ht="15" hidden="false" customHeight="false" outlineLevel="0" collapsed="false">
      <c r="E402" s="4"/>
      <c r="L402" s="4"/>
    </row>
    <row r="403" customFormat="false" ht="15" hidden="false" customHeight="false" outlineLevel="0" collapsed="false">
      <c r="E403" s="4"/>
      <c r="L403" s="4"/>
    </row>
    <row r="404" customFormat="false" ht="15" hidden="false" customHeight="false" outlineLevel="0" collapsed="false">
      <c r="E404" s="4"/>
      <c r="L404" s="4"/>
    </row>
    <row r="405" customFormat="false" ht="15" hidden="false" customHeight="false" outlineLevel="0" collapsed="false">
      <c r="E405" s="4"/>
      <c r="L405" s="4"/>
    </row>
    <row r="406" customFormat="false" ht="15" hidden="false" customHeight="false" outlineLevel="0" collapsed="false">
      <c r="E406" s="4"/>
      <c r="L406" s="4"/>
    </row>
    <row r="407" customFormat="false" ht="15" hidden="false" customHeight="false" outlineLevel="0" collapsed="false">
      <c r="E407" s="4"/>
      <c r="L407" s="4"/>
    </row>
    <row r="408" customFormat="false" ht="15" hidden="false" customHeight="false" outlineLevel="0" collapsed="false">
      <c r="E408" s="4"/>
      <c r="L408" s="4"/>
    </row>
    <row r="409" customFormat="false" ht="15" hidden="false" customHeight="false" outlineLevel="0" collapsed="false">
      <c r="E409" s="4"/>
      <c r="L409" s="4"/>
    </row>
    <row r="410" customFormat="false" ht="15" hidden="false" customHeight="false" outlineLevel="0" collapsed="false">
      <c r="E410" s="4"/>
      <c r="L410" s="4"/>
    </row>
    <row r="411" customFormat="false" ht="15" hidden="false" customHeight="false" outlineLevel="0" collapsed="false">
      <c r="E411" s="4"/>
      <c r="L411" s="4"/>
    </row>
    <row r="412" customFormat="false" ht="15" hidden="false" customHeight="false" outlineLevel="0" collapsed="false">
      <c r="E412" s="4"/>
      <c r="L412" s="4"/>
    </row>
    <row r="413" customFormat="false" ht="15" hidden="false" customHeight="false" outlineLevel="0" collapsed="false">
      <c r="E413" s="4"/>
      <c r="L413" s="4"/>
    </row>
    <row r="414" customFormat="false" ht="15" hidden="false" customHeight="false" outlineLevel="0" collapsed="false">
      <c r="E414" s="4"/>
      <c r="L414" s="4"/>
    </row>
    <row r="415" customFormat="false" ht="15" hidden="false" customHeight="false" outlineLevel="0" collapsed="false">
      <c r="E415" s="4"/>
      <c r="L415" s="4"/>
    </row>
    <row r="416" customFormat="false" ht="15" hidden="false" customHeight="false" outlineLevel="0" collapsed="false">
      <c r="E416" s="4"/>
      <c r="L416" s="4"/>
    </row>
    <row r="417" customFormat="false" ht="15" hidden="false" customHeight="false" outlineLevel="0" collapsed="false">
      <c r="E417" s="4"/>
      <c r="L417" s="4"/>
    </row>
    <row r="418" customFormat="false" ht="15" hidden="false" customHeight="false" outlineLevel="0" collapsed="false">
      <c r="E418" s="4"/>
      <c r="L418" s="4"/>
    </row>
    <row r="419" customFormat="false" ht="15" hidden="false" customHeight="false" outlineLevel="0" collapsed="false">
      <c r="E419" s="4"/>
      <c r="L419" s="4"/>
    </row>
    <row r="420" customFormat="false" ht="15" hidden="false" customHeight="false" outlineLevel="0" collapsed="false">
      <c r="E420" s="4"/>
      <c r="L420" s="4"/>
    </row>
    <row r="421" customFormat="false" ht="15" hidden="false" customHeight="false" outlineLevel="0" collapsed="false">
      <c r="E421" s="4"/>
      <c r="L421" s="4"/>
    </row>
    <row r="422" customFormat="false" ht="15" hidden="false" customHeight="false" outlineLevel="0" collapsed="false">
      <c r="E422" s="4"/>
      <c r="L422" s="4"/>
    </row>
    <row r="423" customFormat="false" ht="15" hidden="false" customHeight="false" outlineLevel="0" collapsed="false">
      <c r="E423" s="4"/>
      <c r="L423" s="4"/>
    </row>
    <row r="424" customFormat="false" ht="15" hidden="false" customHeight="false" outlineLevel="0" collapsed="false">
      <c r="E424" s="4"/>
      <c r="L424" s="4"/>
    </row>
    <row r="425" customFormat="false" ht="15" hidden="false" customHeight="false" outlineLevel="0" collapsed="false">
      <c r="E425" s="4"/>
      <c r="L425" s="4"/>
    </row>
    <row r="426" customFormat="false" ht="15" hidden="false" customHeight="false" outlineLevel="0" collapsed="false">
      <c r="E426" s="4"/>
      <c r="L426" s="4"/>
    </row>
    <row r="427" customFormat="false" ht="15" hidden="false" customHeight="false" outlineLevel="0" collapsed="false">
      <c r="E427" s="4"/>
      <c r="L427" s="4"/>
    </row>
    <row r="428" customFormat="false" ht="15" hidden="false" customHeight="false" outlineLevel="0" collapsed="false">
      <c r="E428" s="4"/>
      <c r="L428" s="4"/>
    </row>
    <row r="429" customFormat="false" ht="15" hidden="false" customHeight="false" outlineLevel="0" collapsed="false">
      <c r="E429" s="4"/>
      <c r="L429" s="4"/>
    </row>
    <row r="430" customFormat="false" ht="15" hidden="false" customHeight="false" outlineLevel="0" collapsed="false">
      <c r="E430" s="4"/>
      <c r="L430" s="4"/>
    </row>
    <row r="431" customFormat="false" ht="15" hidden="false" customHeight="false" outlineLevel="0" collapsed="false">
      <c r="E431" s="4"/>
      <c r="L431" s="4"/>
    </row>
    <row r="432" customFormat="false" ht="15" hidden="false" customHeight="false" outlineLevel="0" collapsed="false">
      <c r="E432" s="4"/>
      <c r="L432" s="4"/>
    </row>
    <row r="433" customFormat="false" ht="15" hidden="false" customHeight="false" outlineLevel="0" collapsed="false">
      <c r="E433" s="4"/>
      <c r="L433" s="4"/>
    </row>
    <row r="434" customFormat="false" ht="15" hidden="false" customHeight="false" outlineLevel="0" collapsed="false">
      <c r="E434" s="4"/>
      <c r="L434" s="4"/>
    </row>
    <row r="435" customFormat="false" ht="15" hidden="false" customHeight="false" outlineLevel="0" collapsed="false">
      <c r="E435" s="4"/>
      <c r="L435" s="4"/>
    </row>
    <row r="436" customFormat="false" ht="15" hidden="false" customHeight="false" outlineLevel="0" collapsed="false">
      <c r="E436" s="4"/>
      <c r="L436" s="4"/>
    </row>
    <row r="437" customFormat="false" ht="15" hidden="false" customHeight="false" outlineLevel="0" collapsed="false">
      <c r="E437" s="4"/>
      <c r="L437" s="4"/>
    </row>
    <row r="438" customFormat="false" ht="15" hidden="false" customHeight="false" outlineLevel="0" collapsed="false">
      <c r="E438" s="4"/>
      <c r="L438" s="4"/>
    </row>
    <row r="439" customFormat="false" ht="15" hidden="false" customHeight="false" outlineLevel="0" collapsed="false">
      <c r="E439" s="4"/>
      <c r="L439" s="4"/>
    </row>
    <row r="440" customFormat="false" ht="15" hidden="false" customHeight="false" outlineLevel="0" collapsed="false">
      <c r="E440" s="4"/>
      <c r="L440" s="4"/>
    </row>
    <row r="441" customFormat="false" ht="15" hidden="false" customHeight="false" outlineLevel="0" collapsed="false">
      <c r="E441" s="4"/>
      <c r="L441" s="4"/>
    </row>
    <row r="442" customFormat="false" ht="15" hidden="false" customHeight="false" outlineLevel="0" collapsed="false">
      <c r="E442" s="4"/>
      <c r="L442" s="4"/>
    </row>
    <row r="443" customFormat="false" ht="15" hidden="false" customHeight="false" outlineLevel="0" collapsed="false">
      <c r="E443" s="4"/>
      <c r="L443" s="4"/>
    </row>
    <row r="444" customFormat="false" ht="15" hidden="false" customHeight="false" outlineLevel="0" collapsed="false">
      <c r="E444" s="4"/>
      <c r="L444" s="4"/>
    </row>
    <row r="445" customFormat="false" ht="15" hidden="false" customHeight="false" outlineLevel="0" collapsed="false">
      <c r="E445" s="4"/>
      <c r="L445" s="4"/>
    </row>
    <row r="446" customFormat="false" ht="15" hidden="false" customHeight="false" outlineLevel="0" collapsed="false">
      <c r="E446" s="4"/>
      <c r="L446" s="4"/>
    </row>
    <row r="447" customFormat="false" ht="15" hidden="false" customHeight="false" outlineLevel="0" collapsed="false">
      <c r="E447" s="4"/>
      <c r="L447" s="4"/>
    </row>
    <row r="448" customFormat="false" ht="15" hidden="false" customHeight="false" outlineLevel="0" collapsed="false">
      <c r="E448" s="4"/>
      <c r="L448" s="4"/>
    </row>
    <row r="449" customFormat="false" ht="15" hidden="false" customHeight="false" outlineLevel="0" collapsed="false">
      <c r="E449" s="4"/>
      <c r="L449" s="4"/>
    </row>
    <row r="450" customFormat="false" ht="15" hidden="false" customHeight="false" outlineLevel="0" collapsed="false">
      <c r="E450" s="4"/>
      <c r="L450" s="4"/>
    </row>
    <row r="451" customFormat="false" ht="15" hidden="false" customHeight="false" outlineLevel="0" collapsed="false">
      <c r="E451" s="4"/>
      <c r="L451" s="4"/>
    </row>
    <row r="452" customFormat="false" ht="15" hidden="false" customHeight="false" outlineLevel="0" collapsed="false">
      <c r="E452" s="4"/>
      <c r="L452" s="4"/>
    </row>
    <row r="453" customFormat="false" ht="15" hidden="false" customHeight="false" outlineLevel="0" collapsed="false">
      <c r="E453" s="4"/>
      <c r="L453" s="4"/>
    </row>
    <row r="454" customFormat="false" ht="15" hidden="false" customHeight="false" outlineLevel="0" collapsed="false">
      <c r="E454" s="4"/>
      <c r="L454" s="4"/>
    </row>
    <row r="455" customFormat="false" ht="15" hidden="false" customHeight="false" outlineLevel="0" collapsed="false">
      <c r="E455" s="4"/>
      <c r="L455" s="4"/>
    </row>
    <row r="456" customFormat="false" ht="15" hidden="false" customHeight="false" outlineLevel="0" collapsed="false">
      <c r="E456" s="4"/>
      <c r="L456" s="4"/>
    </row>
    <row r="457" customFormat="false" ht="15" hidden="false" customHeight="false" outlineLevel="0" collapsed="false">
      <c r="E457" s="4"/>
      <c r="L457" s="4"/>
    </row>
    <row r="458" customFormat="false" ht="15" hidden="false" customHeight="false" outlineLevel="0" collapsed="false">
      <c r="E458" s="4"/>
      <c r="L458" s="4"/>
    </row>
    <row r="459" customFormat="false" ht="15" hidden="false" customHeight="false" outlineLevel="0" collapsed="false">
      <c r="E459" s="4"/>
      <c r="L459" s="4"/>
    </row>
    <row r="460" customFormat="false" ht="15" hidden="false" customHeight="false" outlineLevel="0" collapsed="false">
      <c r="E460" s="4"/>
      <c r="L460" s="4"/>
    </row>
    <row r="461" customFormat="false" ht="15" hidden="false" customHeight="false" outlineLevel="0" collapsed="false">
      <c r="E461" s="4"/>
      <c r="L461" s="4"/>
    </row>
    <row r="462" customFormat="false" ht="15" hidden="false" customHeight="false" outlineLevel="0" collapsed="false">
      <c r="E462" s="4"/>
      <c r="L462" s="4"/>
    </row>
    <row r="463" customFormat="false" ht="15" hidden="false" customHeight="false" outlineLevel="0" collapsed="false">
      <c r="E463" s="4"/>
      <c r="L463" s="4"/>
    </row>
    <row r="464" customFormat="false" ht="15" hidden="false" customHeight="false" outlineLevel="0" collapsed="false">
      <c r="E464" s="4"/>
      <c r="L464" s="4"/>
    </row>
    <row r="465" customFormat="false" ht="15" hidden="false" customHeight="false" outlineLevel="0" collapsed="false">
      <c r="E465" s="4"/>
      <c r="L465" s="4"/>
    </row>
    <row r="466" customFormat="false" ht="15" hidden="false" customHeight="false" outlineLevel="0" collapsed="false">
      <c r="E466" s="4"/>
      <c r="L466" s="4"/>
    </row>
    <row r="467" customFormat="false" ht="15" hidden="false" customHeight="false" outlineLevel="0" collapsed="false">
      <c r="E467" s="4"/>
      <c r="L467" s="4"/>
    </row>
    <row r="468" customFormat="false" ht="15" hidden="false" customHeight="false" outlineLevel="0" collapsed="false">
      <c r="E468" s="4"/>
      <c r="L468" s="4"/>
    </row>
    <row r="469" customFormat="false" ht="15" hidden="false" customHeight="false" outlineLevel="0" collapsed="false">
      <c r="E469" s="4"/>
      <c r="L469" s="4"/>
    </row>
    <row r="470" customFormat="false" ht="15" hidden="false" customHeight="false" outlineLevel="0" collapsed="false">
      <c r="E470" s="4"/>
      <c r="L470" s="4"/>
    </row>
    <row r="471" customFormat="false" ht="15" hidden="false" customHeight="false" outlineLevel="0" collapsed="false">
      <c r="E471" s="4"/>
      <c r="L471" s="4"/>
    </row>
    <row r="472" customFormat="false" ht="15" hidden="false" customHeight="false" outlineLevel="0" collapsed="false">
      <c r="E472" s="4"/>
      <c r="L472" s="4"/>
    </row>
    <row r="473" customFormat="false" ht="15" hidden="false" customHeight="false" outlineLevel="0" collapsed="false">
      <c r="E473" s="4"/>
      <c r="L473" s="4"/>
    </row>
    <row r="474" customFormat="false" ht="15" hidden="false" customHeight="false" outlineLevel="0" collapsed="false">
      <c r="E474" s="4"/>
      <c r="L474" s="4"/>
    </row>
    <row r="475" customFormat="false" ht="15" hidden="false" customHeight="false" outlineLevel="0" collapsed="false">
      <c r="E475" s="4"/>
      <c r="L475" s="4"/>
    </row>
    <row r="476" customFormat="false" ht="15" hidden="false" customHeight="false" outlineLevel="0" collapsed="false">
      <c r="E476" s="4"/>
      <c r="L476" s="4"/>
    </row>
    <row r="477" customFormat="false" ht="15" hidden="false" customHeight="false" outlineLevel="0" collapsed="false">
      <c r="E477" s="4"/>
      <c r="L477" s="4"/>
    </row>
    <row r="478" customFormat="false" ht="15" hidden="false" customHeight="false" outlineLevel="0" collapsed="false">
      <c r="E478" s="4"/>
      <c r="L478" s="4"/>
    </row>
    <row r="479" customFormat="false" ht="15" hidden="false" customHeight="false" outlineLevel="0" collapsed="false">
      <c r="E479" s="4"/>
      <c r="L479" s="4"/>
    </row>
    <row r="480" customFormat="false" ht="15" hidden="false" customHeight="false" outlineLevel="0" collapsed="false">
      <c r="E480" s="4"/>
      <c r="L480" s="4"/>
    </row>
    <row r="481" customFormat="false" ht="15" hidden="false" customHeight="false" outlineLevel="0" collapsed="false">
      <c r="E481" s="4"/>
      <c r="L481" s="4"/>
    </row>
    <row r="482" customFormat="false" ht="15" hidden="false" customHeight="false" outlineLevel="0" collapsed="false">
      <c r="E482" s="4"/>
      <c r="L482" s="4"/>
    </row>
    <row r="483" customFormat="false" ht="15" hidden="false" customHeight="false" outlineLevel="0" collapsed="false">
      <c r="E483" s="4"/>
      <c r="L483" s="4"/>
    </row>
    <row r="484" customFormat="false" ht="15" hidden="false" customHeight="false" outlineLevel="0" collapsed="false">
      <c r="E484" s="4"/>
      <c r="L484" s="4"/>
    </row>
    <row r="485" customFormat="false" ht="15" hidden="false" customHeight="false" outlineLevel="0" collapsed="false">
      <c r="E485" s="4"/>
      <c r="L485" s="4"/>
    </row>
    <row r="486" customFormat="false" ht="15" hidden="false" customHeight="false" outlineLevel="0" collapsed="false">
      <c r="E486" s="4"/>
      <c r="L486" s="4"/>
    </row>
    <row r="487" customFormat="false" ht="15" hidden="false" customHeight="false" outlineLevel="0" collapsed="false">
      <c r="E487" s="4"/>
      <c r="L487" s="4"/>
    </row>
    <row r="488" customFormat="false" ht="15" hidden="false" customHeight="false" outlineLevel="0" collapsed="false">
      <c r="E488" s="4"/>
      <c r="L488" s="4"/>
    </row>
    <row r="489" customFormat="false" ht="15" hidden="false" customHeight="false" outlineLevel="0" collapsed="false">
      <c r="E489" s="4"/>
      <c r="L489" s="4"/>
    </row>
    <row r="490" customFormat="false" ht="15" hidden="false" customHeight="false" outlineLevel="0" collapsed="false">
      <c r="E490" s="4"/>
      <c r="L490" s="4"/>
    </row>
    <row r="491" customFormat="false" ht="15" hidden="false" customHeight="false" outlineLevel="0" collapsed="false">
      <c r="E491" s="4"/>
      <c r="L491" s="4"/>
    </row>
    <row r="492" customFormat="false" ht="15" hidden="false" customHeight="false" outlineLevel="0" collapsed="false">
      <c r="E492" s="4"/>
      <c r="L492" s="4"/>
    </row>
    <row r="493" customFormat="false" ht="15" hidden="false" customHeight="false" outlineLevel="0" collapsed="false">
      <c r="E493" s="4"/>
      <c r="L493" s="4"/>
    </row>
    <row r="494" customFormat="false" ht="15" hidden="false" customHeight="false" outlineLevel="0" collapsed="false">
      <c r="E494" s="4"/>
      <c r="L494" s="4"/>
    </row>
    <row r="495" customFormat="false" ht="15" hidden="false" customHeight="false" outlineLevel="0" collapsed="false">
      <c r="E495" s="4"/>
      <c r="L495" s="4"/>
    </row>
    <row r="496" customFormat="false" ht="15" hidden="false" customHeight="false" outlineLevel="0" collapsed="false">
      <c r="E496" s="4"/>
      <c r="L496" s="4"/>
    </row>
    <row r="497" customFormat="false" ht="15" hidden="false" customHeight="false" outlineLevel="0" collapsed="false">
      <c r="E497" s="4"/>
      <c r="L497" s="4"/>
    </row>
    <row r="498" customFormat="false" ht="15" hidden="false" customHeight="false" outlineLevel="0" collapsed="false">
      <c r="E498" s="4"/>
      <c r="L498" s="4"/>
    </row>
    <row r="499" customFormat="false" ht="15" hidden="false" customHeight="false" outlineLevel="0" collapsed="false">
      <c r="E499" s="4"/>
      <c r="L499" s="4"/>
    </row>
    <row r="500" customFormat="false" ht="15" hidden="false" customHeight="false" outlineLevel="0" collapsed="false">
      <c r="E500" s="4"/>
      <c r="L500" s="4"/>
    </row>
    <row r="501" customFormat="false" ht="15" hidden="false" customHeight="false" outlineLevel="0" collapsed="false">
      <c r="E501" s="4"/>
      <c r="L501" s="4"/>
    </row>
    <row r="502" customFormat="false" ht="15" hidden="false" customHeight="false" outlineLevel="0" collapsed="false">
      <c r="E502" s="4"/>
      <c r="L502" s="4"/>
    </row>
    <row r="503" customFormat="false" ht="15" hidden="false" customHeight="false" outlineLevel="0" collapsed="false">
      <c r="E503" s="4"/>
      <c r="L503" s="4"/>
    </row>
    <row r="504" customFormat="false" ht="15" hidden="false" customHeight="false" outlineLevel="0" collapsed="false">
      <c r="E504" s="4"/>
      <c r="L504" s="4"/>
    </row>
    <row r="505" customFormat="false" ht="15" hidden="false" customHeight="false" outlineLevel="0" collapsed="false">
      <c r="E505" s="4"/>
      <c r="L505" s="4"/>
    </row>
    <row r="506" customFormat="false" ht="15" hidden="false" customHeight="false" outlineLevel="0" collapsed="false">
      <c r="E506" s="4"/>
      <c r="L506" s="4"/>
    </row>
    <row r="507" customFormat="false" ht="15" hidden="false" customHeight="false" outlineLevel="0" collapsed="false">
      <c r="E507" s="4"/>
      <c r="L507" s="4"/>
    </row>
    <row r="508" customFormat="false" ht="15" hidden="false" customHeight="false" outlineLevel="0" collapsed="false">
      <c r="E508" s="4"/>
      <c r="L508" s="4"/>
    </row>
    <row r="509" customFormat="false" ht="15" hidden="false" customHeight="false" outlineLevel="0" collapsed="false">
      <c r="E509" s="4"/>
      <c r="L509" s="4"/>
    </row>
    <row r="510" customFormat="false" ht="15" hidden="false" customHeight="false" outlineLevel="0" collapsed="false">
      <c r="E510" s="4"/>
      <c r="L510" s="4"/>
    </row>
    <row r="511" customFormat="false" ht="15" hidden="false" customHeight="false" outlineLevel="0" collapsed="false">
      <c r="E511" s="4"/>
      <c r="L511" s="4"/>
    </row>
    <row r="512" customFormat="false" ht="15" hidden="false" customHeight="false" outlineLevel="0" collapsed="false">
      <c r="E512" s="4"/>
      <c r="L512" s="4"/>
    </row>
    <row r="513" customFormat="false" ht="15" hidden="false" customHeight="false" outlineLevel="0" collapsed="false">
      <c r="E513" s="4"/>
      <c r="L513" s="4"/>
    </row>
    <row r="514" customFormat="false" ht="15" hidden="false" customHeight="false" outlineLevel="0" collapsed="false">
      <c r="E514" s="4"/>
      <c r="L514" s="4"/>
    </row>
    <row r="515" customFormat="false" ht="15" hidden="false" customHeight="false" outlineLevel="0" collapsed="false">
      <c r="E515" s="4"/>
      <c r="L515" s="4"/>
    </row>
    <row r="516" customFormat="false" ht="15" hidden="false" customHeight="false" outlineLevel="0" collapsed="false">
      <c r="E516" s="4"/>
      <c r="L516" s="4"/>
    </row>
    <row r="517" customFormat="false" ht="15" hidden="false" customHeight="false" outlineLevel="0" collapsed="false">
      <c r="E517" s="4"/>
      <c r="L517" s="4"/>
    </row>
    <row r="518" customFormat="false" ht="15" hidden="false" customHeight="false" outlineLevel="0" collapsed="false">
      <c r="E518" s="4"/>
      <c r="L518" s="4"/>
    </row>
    <row r="519" customFormat="false" ht="15" hidden="false" customHeight="false" outlineLevel="0" collapsed="false">
      <c r="E519" s="4"/>
      <c r="L519" s="4"/>
    </row>
    <row r="520" customFormat="false" ht="15" hidden="false" customHeight="false" outlineLevel="0" collapsed="false">
      <c r="E520" s="4"/>
      <c r="L520" s="4"/>
    </row>
    <row r="521" customFormat="false" ht="15" hidden="false" customHeight="false" outlineLevel="0" collapsed="false">
      <c r="E521" s="4"/>
      <c r="L521" s="4"/>
    </row>
    <row r="522" customFormat="false" ht="15" hidden="false" customHeight="false" outlineLevel="0" collapsed="false">
      <c r="E522" s="4"/>
      <c r="L522" s="4"/>
    </row>
    <row r="523" customFormat="false" ht="15" hidden="false" customHeight="false" outlineLevel="0" collapsed="false">
      <c r="E523" s="4"/>
      <c r="L523" s="4"/>
    </row>
    <row r="524" customFormat="false" ht="15" hidden="false" customHeight="false" outlineLevel="0" collapsed="false">
      <c r="E524" s="4"/>
      <c r="L524" s="4"/>
    </row>
    <row r="525" customFormat="false" ht="15" hidden="false" customHeight="false" outlineLevel="0" collapsed="false">
      <c r="E525" s="4"/>
      <c r="L525" s="4"/>
    </row>
    <row r="526" customFormat="false" ht="15" hidden="false" customHeight="false" outlineLevel="0" collapsed="false">
      <c r="E526" s="4"/>
      <c r="L526" s="4"/>
    </row>
    <row r="527" customFormat="false" ht="15" hidden="false" customHeight="false" outlineLevel="0" collapsed="false">
      <c r="E527" s="4"/>
      <c r="L527" s="4"/>
    </row>
    <row r="528" customFormat="false" ht="15" hidden="false" customHeight="false" outlineLevel="0" collapsed="false">
      <c r="E528" s="4"/>
      <c r="L528" s="4"/>
    </row>
    <row r="529" customFormat="false" ht="15" hidden="false" customHeight="false" outlineLevel="0" collapsed="false">
      <c r="E529" s="4"/>
      <c r="L529" s="4"/>
    </row>
    <row r="530" customFormat="false" ht="15" hidden="false" customHeight="false" outlineLevel="0" collapsed="false">
      <c r="E530" s="4"/>
      <c r="L530" s="4"/>
    </row>
    <row r="531" customFormat="false" ht="15" hidden="false" customHeight="false" outlineLevel="0" collapsed="false">
      <c r="E531" s="4"/>
      <c r="L531" s="4"/>
    </row>
    <row r="532" customFormat="false" ht="15" hidden="false" customHeight="false" outlineLevel="0" collapsed="false">
      <c r="E532" s="4"/>
      <c r="L532" s="4"/>
    </row>
    <row r="533" customFormat="false" ht="15" hidden="false" customHeight="false" outlineLevel="0" collapsed="false">
      <c r="E533" s="4"/>
      <c r="L533" s="4"/>
    </row>
    <row r="534" customFormat="false" ht="15" hidden="false" customHeight="false" outlineLevel="0" collapsed="false">
      <c r="E534" s="4"/>
      <c r="L534" s="4"/>
    </row>
    <row r="535" customFormat="false" ht="15" hidden="false" customHeight="false" outlineLevel="0" collapsed="false">
      <c r="E535" s="4"/>
      <c r="L535" s="4"/>
    </row>
    <row r="536" customFormat="false" ht="15" hidden="false" customHeight="false" outlineLevel="0" collapsed="false">
      <c r="E536" s="4"/>
      <c r="L536" s="4"/>
    </row>
    <row r="537" customFormat="false" ht="15" hidden="false" customHeight="false" outlineLevel="0" collapsed="false">
      <c r="E537" s="4"/>
      <c r="L537" s="4"/>
    </row>
    <row r="538" customFormat="false" ht="15" hidden="false" customHeight="false" outlineLevel="0" collapsed="false">
      <c r="E538" s="4"/>
      <c r="L538" s="4"/>
    </row>
    <row r="539" customFormat="false" ht="15" hidden="false" customHeight="false" outlineLevel="0" collapsed="false">
      <c r="E539" s="4"/>
      <c r="L539" s="4"/>
    </row>
    <row r="540" customFormat="false" ht="15" hidden="false" customHeight="false" outlineLevel="0" collapsed="false">
      <c r="E540" s="4"/>
      <c r="L540" s="4"/>
    </row>
    <row r="541" customFormat="false" ht="15" hidden="false" customHeight="false" outlineLevel="0" collapsed="false">
      <c r="E541" s="4"/>
      <c r="L541" s="4"/>
    </row>
    <row r="542" customFormat="false" ht="15" hidden="false" customHeight="false" outlineLevel="0" collapsed="false">
      <c r="E542" s="4"/>
      <c r="L542" s="4"/>
    </row>
    <row r="543" customFormat="false" ht="15" hidden="false" customHeight="false" outlineLevel="0" collapsed="false">
      <c r="E543" s="4"/>
      <c r="L543" s="4"/>
    </row>
    <row r="544" customFormat="false" ht="15" hidden="false" customHeight="false" outlineLevel="0" collapsed="false">
      <c r="E544" s="4"/>
      <c r="L544" s="4"/>
    </row>
    <row r="545" customFormat="false" ht="15" hidden="false" customHeight="false" outlineLevel="0" collapsed="false">
      <c r="E545" s="4"/>
      <c r="L545" s="4"/>
    </row>
    <row r="546" customFormat="false" ht="15" hidden="false" customHeight="false" outlineLevel="0" collapsed="false">
      <c r="E546" s="4"/>
      <c r="L546" s="4"/>
    </row>
    <row r="547" customFormat="false" ht="15" hidden="false" customHeight="false" outlineLevel="0" collapsed="false">
      <c r="E547" s="4"/>
      <c r="L547" s="4"/>
    </row>
    <row r="548" customFormat="false" ht="15" hidden="false" customHeight="false" outlineLevel="0" collapsed="false">
      <c r="E548" s="4"/>
      <c r="L548" s="4"/>
    </row>
    <row r="549" customFormat="false" ht="15" hidden="false" customHeight="false" outlineLevel="0" collapsed="false">
      <c r="E549" s="4"/>
      <c r="L549" s="4"/>
    </row>
    <row r="550" customFormat="false" ht="15" hidden="false" customHeight="false" outlineLevel="0" collapsed="false">
      <c r="E550" s="4"/>
      <c r="L550" s="4"/>
    </row>
    <row r="551" customFormat="false" ht="15" hidden="false" customHeight="false" outlineLevel="0" collapsed="false">
      <c r="E551" s="4"/>
      <c r="L551" s="4"/>
    </row>
    <row r="552" customFormat="false" ht="15" hidden="false" customHeight="false" outlineLevel="0" collapsed="false">
      <c r="E552" s="4"/>
      <c r="L552" s="4"/>
    </row>
    <row r="553" customFormat="false" ht="15" hidden="false" customHeight="false" outlineLevel="0" collapsed="false">
      <c r="E553" s="4"/>
      <c r="L553" s="4"/>
    </row>
    <row r="554" customFormat="false" ht="15" hidden="false" customHeight="false" outlineLevel="0" collapsed="false">
      <c r="E554" s="4"/>
      <c r="L554" s="4"/>
    </row>
    <row r="555" customFormat="false" ht="15" hidden="false" customHeight="false" outlineLevel="0" collapsed="false">
      <c r="E555" s="4"/>
      <c r="L555" s="4"/>
    </row>
    <row r="556" customFormat="false" ht="15" hidden="false" customHeight="false" outlineLevel="0" collapsed="false">
      <c r="E556" s="4"/>
      <c r="L556" s="4"/>
    </row>
    <row r="557" customFormat="false" ht="15" hidden="false" customHeight="false" outlineLevel="0" collapsed="false">
      <c r="E557" s="4"/>
      <c r="L557" s="4"/>
    </row>
    <row r="558" customFormat="false" ht="15" hidden="false" customHeight="false" outlineLevel="0" collapsed="false">
      <c r="E558" s="4"/>
      <c r="L558" s="4"/>
    </row>
    <row r="559" customFormat="false" ht="15" hidden="false" customHeight="false" outlineLevel="0" collapsed="false">
      <c r="E559" s="4"/>
      <c r="L559" s="4"/>
    </row>
    <row r="560" customFormat="false" ht="15" hidden="false" customHeight="false" outlineLevel="0" collapsed="false">
      <c r="E560" s="4"/>
      <c r="L560" s="4"/>
    </row>
    <row r="561" customFormat="false" ht="15" hidden="false" customHeight="false" outlineLevel="0" collapsed="false">
      <c r="E561" s="4"/>
      <c r="L561" s="4"/>
    </row>
    <row r="562" customFormat="false" ht="15" hidden="false" customHeight="false" outlineLevel="0" collapsed="false">
      <c r="E562" s="4"/>
      <c r="L562" s="4"/>
    </row>
    <row r="563" customFormat="false" ht="15" hidden="false" customHeight="false" outlineLevel="0" collapsed="false">
      <c r="E563" s="4"/>
      <c r="L563" s="4"/>
    </row>
    <row r="564" customFormat="false" ht="15" hidden="false" customHeight="false" outlineLevel="0" collapsed="false">
      <c r="E564" s="4"/>
      <c r="L564" s="4"/>
    </row>
    <row r="565" customFormat="false" ht="15" hidden="false" customHeight="false" outlineLevel="0" collapsed="false">
      <c r="E565" s="4"/>
      <c r="L565" s="4"/>
    </row>
    <row r="566" customFormat="false" ht="15" hidden="false" customHeight="false" outlineLevel="0" collapsed="false">
      <c r="E566" s="4"/>
      <c r="L566" s="4"/>
    </row>
    <row r="567" customFormat="false" ht="15" hidden="false" customHeight="false" outlineLevel="0" collapsed="false">
      <c r="E567" s="4"/>
      <c r="L567" s="4"/>
    </row>
    <row r="568" customFormat="false" ht="15" hidden="false" customHeight="false" outlineLevel="0" collapsed="false">
      <c r="E568" s="4"/>
      <c r="L568" s="4"/>
    </row>
    <row r="569" customFormat="false" ht="15" hidden="false" customHeight="false" outlineLevel="0" collapsed="false">
      <c r="E569" s="4"/>
      <c r="L569" s="4"/>
    </row>
    <row r="570" customFormat="false" ht="15" hidden="false" customHeight="false" outlineLevel="0" collapsed="false">
      <c r="E570" s="4"/>
      <c r="L570" s="4"/>
    </row>
    <row r="571" customFormat="false" ht="15" hidden="false" customHeight="false" outlineLevel="0" collapsed="false">
      <c r="E571" s="4"/>
      <c r="L571" s="4"/>
    </row>
    <row r="572" customFormat="false" ht="15" hidden="false" customHeight="false" outlineLevel="0" collapsed="false">
      <c r="E572" s="4"/>
      <c r="L572" s="4"/>
    </row>
    <row r="573" customFormat="false" ht="15" hidden="false" customHeight="false" outlineLevel="0" collapsed="false">
      <c r="E573" s="4"/>
      <c r="L573" s="4"/>
    </row>
    <row r="574" customFormat="false" ht="15" hidden="false" customHeight="false" outlineLevel="0" collapsed="false">
      <c r="E574" s="4"/>
      <c r="L574" s="4"/>
    </row>
    <row r="575" customFormat="false" ht="15" hidden="false" customHeight="false" outlineLevel="0" collapsed="false">
      <c r="E575" s="4"/>
      <c r="L575" s="4"/>
    </row>
    <row r="576" customFormat="false" ht="15" hidden="false" customHeight="false" outlineLevel="0" collapsed="false">
      <c r="E576" s="4"/>
      <c r="L576" s="4"/>
    </row>
    <row r="577" customFormat="false" ht="15" hidden="false" customHeight="false" outlineLevel="0" collapsed="false">
      <c r="E577" s="4"/>
      <c r="L577" s="4"/>
    </row>
    <row r="578" customFormat="false" ht="15" hidden="false" customHeight="false" outlineLevel="0" collapsed="false">
      <c r="E578" s="4"/>
      <c r="L578" s="4"/>
    </row>
    <row r="579" customFormat="false" ht="15" hidden="false" customHeight="false" outlineLevel="0" collapsed="false">
      <c r="E579" s="4"/>
      <c r="L579" s="4"/>
    </row>
    <row r="580" customFormat="false" ht="15" hidden="false" customHeight="false" outlineLevel="0" collapsed="false">
      <c r="E580" s="4"/>
      <c r="L580" s="4"/>
    </row>
    <row r="581" customFormat="false" ht="15" hidden="false" customHeight="false" outlineLevel="0" collapsed="false">
      <c r="E581" s="4"/>
      <c r="L581" s="4"/>
    </row>
    <row r="582" customFormat="false" ht="15" hidden="false" customHeight="false" outlineLevel="0" collapsed="false">
      <c r="E582" s="4"/>
      <c r="L582" s="4"/>
    </row>
    <row r="583" customFormat="false" ht="15" hidden="false" customHeight="false" outlineLevel="0" collapsed="false">
      <c r="E583" s="4"/>
      <c r="L583" s="4"/>
    </row>
    <row r="584" customFormat="false" ht="15" hidden="false" customHeight="false" outlineLevel="0" collapsed="false">
      <c r="E584" s="4"/>
      <c r="L584" s="4"/>
    </row>
    <row r="585" customFormat="false" ht="15" hidden="false" customHeight="false" outlineLevel="0" collapsed="false">
      <c r="E585" s="4"/>
      <c r="L585" s="4"/>
    </row>
    <row r="586" customFormat="false" ht="15" hidden="false" customHeight="false" outlineLevel="0" collapsed="false">
      <c r="E586" s="4"/>
      <c r="L586" s="4"/>
    </row>
    <row r="587" customFormat="false" ht="15" hidden="false" customHeight="false" outlineLevel="0" collapsed="false">
      <c r="E587" s="4"/>
      <c r="L587" s="4"/>
    </row>
    <row r="588" customFormat="false" ht="15" hidden="false" customHeight="false" outlineLevel="0" collapsed="false">
      <c r="E588" s="4"/>
      <c r="L588" s="4"/>
    </row>
    <row r="589" customFormat="false" ht="15" hidden="false" customHeight="false" outlineLevel="0" collapsed="false">
      <c r="E589" s="4"/>
      <c r="L589" s="4"/>
    </row>
    <row r="590" customFormat="false" ht="15" hidden="false" customHeight="false" outlineLevel="0" collapsed="false">
      <c r="E590" s="4"/>
      <c r="L590" s="4"/>
    </row>
    <row r="591" customFormat="false" ht="15" hidden="false" customHeight="false" outlineLevel="0" collapsed="false">
      <c r="E591" s="4"/>
      <c r="L591" s="4"/>
    </row>
    <row r="592" customFormat="false" ht="15" hidden="false" customHeight="false" outlineLevel="0" collapsed="false">
      <c r="E592" s="4"/>
      <c r="L592" s="4"/>
    </row>
    <row r="593" customFormat="false" ht="15" hidden="false" customHeight="false" outlineLevel="0" collapsed="false">
      <c r="E593" s="4"/>
      <c r="L593" s="4"/>
    </row>
    <row r="594" customFormat="false" ht="15" hidden="false" customHeight="false" outlineLevel="0" collapsed="false">
      <c r="E594" s="4"/>
      <c r="L594" s="4"/>
    </row>
    <row r="595" customFormat="false" ht="15" hidden="false" customHeight="false" outlineLevel="0" collapsed="false">
      <c r="E595" s="4"/>
      <c r="L595" s="4"/>
    </row>
    <row r="596" customFormat="false" ht="15" hidden="false" customHeight="false" outlineLevel="0" collapsed="false">
      <c r="E596" s="4"/>
      <c r="L596" s="4"/>
    </row>
    <row r="597" customFormat="false" ht="15" hidden="false" customHeight="false" outlineLevel="0" collapsed="false">
      <c r="E597" s="4"/>
      <c r="L597" s="4"/>
    </row>
    <row r="598" customFormat="false" ht="15" hidden="false" customHeight="false" outlineLevel="0" collapsed="false">
      <c r="E598" s="4"/>
      <c r="L598" s="4"/>
    </row>
    <row r="599" customFormat="false" ht="15" hidden="false" customHeight="false" outlineLevel="0" collapsed="false">
      <c r="E599" s="4"/>
      <c r="L599" s="4"/>
    </row>
    <row r="600" customFormat="false" ht="15" hidden="false" customHeight="false" outlineLevel="0" collapsed="false">
      <c r="E600" s="4"/>
      <c r="L600" s="4"/>
    </row>
    <row r="601" customFormat="false" ht="15" hidden="false" customHeight="false" outlineLevel="0" collapsed="false">
      <c r="E601" s="4"/>
      <c r="L601" s="4"/>
    </row>
    <row r="602" customFormat="false" ht="15" hidden="false" customHeight="false" outlineLevel="0" collapsed="false">
      <c r="E602" s="4"/>
      <c r="L602" s="4"/>
    </row>
    <row r="603" customFormat="false" ht="15" hidden="false" customHeight="false" outlineLevel="0" collapsed="false">
      <c r="E603" s="4"/>
      <c r="L603" s="4"/>
    </row>
    <row r="604" customFormat="false" ht="15" hidden="false" customHeight="false" outlineLevel="0" collapsed="false">
      <c r="E604" s="4"/>
      <c r="L604" s="4"/>
    </row>
    <row r="605" customFormat="false" ht="15" hidden="false" customHeight="false" outlineLevel="0" collapsed="false">
      <c r="E605" s="4"/>
      <c r="L605" s="4"/>
    </row>
    <row r="606" customFormat="false" ht="15" hidden="false" customHeight="false" outlineLevel="0" collapsed="false">
      <c r="E606" s="4"/>
      <c r="L606" s="4"/>
    </row>
    <row r="607" customFormat="false" ht="15" hidden="false" customHeight="false" outlineLevel="0" collapsed="false">
      <c r="E607" s="4"/>
      <c r="L607" s="4"/>
    </row>
    <row r="608" customFormat="false" ht="15" hidden="false" customHeight="false" outlineLevel="0" collapsed="false">
      <c r="E608" s="4"/>
      <c r="L608" s="4"/>
    </row>
    <row r="609" customFormat="false" ht="15" hidden="false" customHeight="false" outlineLevel="0" collapsed="false">
      <c r="E609" s="4"/>
      <c r="L609" s="4"/>
    </row>
    <row r="610" customFormat="false" ht="15" hidden="false" customHeight="false" outlineLevel="0" collapsed="false">
      <c r="E610" s="4"/>
      <c r="L610" s="4"/>
    </row>
    <row r="611" customFormat="false" ht="15" hidden="false" customHeight="false" outlineLevel="0" collapsed="false">
      <c r="E611" s="4"/>
      <c r="L611" s="4"/>
    </row>
    <row r="612" customFormat="false" ht="15" hidden="false" customHeight="false" outlineLevel="0" collapsed="false">
      <c r="E612" s="4"/>
      <c r="L612" s="4"/>
    </row>
    <row r="613" customFormat="false" ht="15" hidden="false" customHeight="false" outlineLevel="0" collapsed="false">
      <c r="E613" s="4"/>
      <c r="L613" s="4"/>
    </row>
    <row r="614" customFormat="false" ht="15" hidden="false" customHeight="false" outlineLevel="0" collapsed="false">
      <c r="E614" s="4"/>
      <c r="L614" s="4"/>
    </row>
    <row r="615" customFormat="false" ht="15" hidden="false" customHeight="false" outlineLevel="0" collapsed="false">
      <c r="E615" s="4"/>
      <c r="L615" s="4"/>
    </row>
    <row r="616" customFormat="false" ht="15" hidden="false" customHeight="false" outlineLevel="0" collapsed="false">
      <c r="E616" s="4"/>
      <c r="L616" s="4"/>
    </row>
    <row r="617" customFormat="false" ht="15" hidden="false" customHeight="false" outlineLevel="0" collapsed="false">
      <c r="E617" s="4"/>
      <c r="L617" s="4"/>
    </row>
    <row r="618" customFormat="false" ht="15" hidden="false" customHeight="false" outlineLevel="0" collapsed="false">
      <c r="E618" s="4"/>
      <c r="L618" s="4"/>
    </row>
    <row r="619" customFormat="false" ht="15" hidden="false" customHeight="false" outlineLevel="0" collapsed="false">
      <c r="E619" s="4"/>
      <c r="L619" s="4"/>
    </row>
    <row r="620" customFormat="false" ht="15" hidden="false" customHeight="false" outlineLevel="0" collapsed="false">
      <c r="E620" s="4"/>
      <c r="L620" s="4"/>
    </row>
    <row r="621" customFormat="false" ht="15" hidden="false" customHeight="false" outlineLevel="0" collapsed="false">
      <c r="E621" s="4"/>
      <c r="L621" s="4"/>
    </row>
    <row r="622" customFormat="false" ht="15" hidden="false" customHeight="false" outlineLevel="0" collapsed="false">
      <c r="E622" s="4"/>
      <c r="L622" s="4"/>
    </row>
    <row r="623" customFormat="false" ht="15" hidden="false" customHeight="false" outlineLevel="0" collapsed="false">
      <c r="E623" s="4"/>
      <c r="L623" s="4"/>
    </row>
    <row r="624" customFormat="false" ht="15" hidden="false" customHeight="false" outlineLevel="0" collapsed="false">
      <c r="E624" s="4"/>
      <c r="L624" s="4"/>
    </row>
    <row r="625" customFormat="false" ht="15" hidden="false" customHeight="false" outlineLevel="0" collapsed="false">
      <c r="E625" s="4"/>
      <c r="L625" s="4"/>
    </row>
    <row r="626" customFormat="false" ht="15" hidden="false" customHeight="false" outlineLevel="0" collapsed="false">
      <c r="E626" s="4"/>
      <c r="L626" s="4"/>
    </row>
    <row r="627" customFormat="false" ht="15" hidden="false" customHeight="false" outlineLevel="0" collapsed="false">
      <c r="E627" s="4"/>
      <c r="L627" s="4"/>
    </row>
    <row r="628" customFormat="false" ht="15" hidden="false" customHeight="false" outlineLevel="0" collapsed="false">
      <c r="E628" s="4"/>
      <c r="L628" s="4"/>
    </row>
    <row r="629" customFormat="false" ht="15" hidden="false" customHeight="false" outlineLevel="0" collapsed="false">
      <c r="E629" s="4"/>
      <c r="L629" s="4"/>
    </row>
    <row r="630" customFormat="false" ht="15" hidden="false" customHeight="false" outlineLevel="0" collapsed="false">
      <c r="E630" s="4"/>
      <c r="L630" s="4"/>
    </row>
    <row r="631" customFormat="false" ht="15" hidden="false" customHeight="false" outlineLevel="0" collapsed="false">
      <c r="E631" s="4"/>
      <c r="L631" s="4"/>
    </row>
    <row r="632" customFormat="false" ht="15" hidden="false" customHeight="false" outlineLevel="0" collapsed="false">
      <c r="E632" s="4"/>
      <c r="L632" s="4"/>
    </row>
    <row r="633" customFormat="false" ht="15" hidden="false" customHeight="false" outlineLevel="0" collapsed="false">
      <c r="E633" s="4"/>
      <c r="L633" s="4"/>
    </row>
    <row r="634" customFormat="false" ht="15" hidden="false" customHeight="false" outlineLevel="0" collapsed="false">
      <c r="E634" s="4"/>
      <c r="L634" s="4"/>
    </row>
    <row r="635" customFormat="false" ht="15" hidden="false" customHeight="false" outlineLevel="0" collapsed="false">
      <c r="E635" s="4"/>
      <c r="L635" s="4"/>
    </row>
    <row r="636" customFormat="false" ht="15" hidden="false" customHeight="false" outlineLevel="0" collapsed="false">
      <c r="E636" s="4"/>
      <c r="L636" s="4"/>
    </row>
    <row r="637" customFormat="false" ht="15" hidden="false" customHeight="false" outlineLevel="0" collapsed="false">
      <c r="E637" s="4"/>
      <c r="L637" s="4"/>
    </row>
    <row r="638" customFormat="false" ht="15" hidden="false" customHeight="false" outlineLevel="0" collapsed="false">
      <c r="E638" s="4"/>
      <c r="L638" s="4"/>
    </row>
    <row r="639" customFormat="false" ht="15" hidden="false" customHeight="false" outlineLevel="0" collapsed="false">
      <c r="E639" s="4"/>
      <c r="L639" s="4"/>
    </row>
    <row r="640" customFormat="false" ht="15" hidden="false" customHeight="false" outlineLevel="0" collapsed="false">
      <c r="E640" s="4"/>
      <c r="L640" s="4"/>
    </row>
    <row r="641" customFormat="false" ht="15" hidden="false" customHeight="false" outlineLevel="0" collapsed="false">
      <c r="E641" s="4"/>
      <c r="L641" s="4"/>
    </row>
    <row r="642" customFormat="false" ht="15" hidden="false" customHeight="false" outlineLevel="0" collapsed="false">
      <c r="E642" s="4"/>
      <c r="L642" s="4"/>
    </row>
    <row r="643" customFormat="false" ht="15" hidden="false" customHeight="false" outlineLevel="0" collapsed="false">
      <c r="E643" s="4"/>
      <c r="L643" s="4"/>
    </row>
    <row r="644" customFormat="false" ht="15" hidden="false" customHeight="false" outlineLevel="0" collapsed="false">
      <c r="E644" s="4"/>
      <c r="L644" s="4"/>
    </row>
    <row r="645" customFormat="false" ht="15" hidden="false" customHeight="false" outlineLevel="0" collapsed="false">
      <c r="E645" s="4"/>
      <c r="L645" s="4"/>
    </row>
    <row r="646" customFormat="false" ht="15" hidden="false" customHeight="false" outlineLevel="0" collapsed="false">
      <c r="E646" s="4"/>
      <c r="L646" s="4"/>
    </row>
    <row r="647" customFormat="false" ht="15" hidden="false" customHeight="false" outlineLevel="0" collapsed="false">
      <c r="E647" s="4"/>
      <c r="L647" s="4"/>
    </row>
    <row r="648" customFormat="false" ht="15" hidden="false" customHeight="false" outlineLevel="0" collapsed="false">
      <c r="E648" s="4"/>
      <c r="L648" s="4"/>
    </row>
    <row r="649" customFormat="false" ht="15" hidden="false" customHeight="false" outlineLevel="0" collapsed="false">
      <c r="E649" s="4"/>
      <c r="L649" s="4"/>
    </row>
    <row r="650" customFormat="false" ht="15" hidden="false" customHeight="false" outlineLevel="0" collapsed="false">
      <c r="E650" s="4"/>
      <c r="L650" s="4"/>
    </row>
    <row r="651" customFormat="false" ht="15" hidden="false" customHeight="false" outlineLevel="0" collapsed="false">
      <c r="E651" s="4"/>
      <c r="L651" s="4"/>
    </row>
    <row r="652" customFormat="false" ht="15" hidden="false" customHeight="false" outlineLevel="0" collapsed="false">
      <c r="E652" s="4"/>
      <c r="L652" s="4"/>
    </row>
    <row r="653" customFormat="false" ht="15" hidden="false" customHeight="false" outlineLevel="0" collapsed="false">
      <c r="E653" s="4"/>
      <c r="L653" s="4"/>
    </row>
    <row r="654" customFormat="false" ht="15" hidden="false" customHeight="false" outlineLevel="0" collapsed="false">
      <c r="E654" s="4"/>
      <c r="L654" s="4"/>
    </row>
    <row r="655" customFormat="false" ht="15" hidden="false" customHeight="false" outlineLevel="0" collapsed="false">
      <c r="E655" s="4"/>
      <c r="L655" s="4"/>
    </row>
    <row r="656" customFormat="false" ht="15" hidden="false" customHeight="false" outlineLevel="0" collapsed="false">
      <c r="E656" s="4"/>
      <c r="L656" s="4"/>
    </row>
    <row r="657" customFormat="false" ht="15" hidden="false" customHeight="false" outlineLevel="0" collapsed="false">
      <c r="E657" s="4"/>
      <c r="L657" s="4"/>
    </row>
    <row r="658" customFormat="false" ht="15" hidden="false" customHeight="false" outlineLevel="0" collapsed="false">
      <c r="E658" s="4"/>
      <c r="L658" s="4"/>
    </row>
    <row r="659" customFormat="false" ht="15" hidden="false" customHeight="false" outlineLevel="0" collapsed="false">
      <c r="E659" s="4"/>
      <c r="L659" s="4"/>
    </row>
    <row r="660" customFormat="false" ht="15" hidden="false" customHeight="false" outlineLevel="0" collapsed="false">
      <c r="E660" s="4"/>
      <c r="L660" s="4"/>
    </row>
    <row r="661" customFormat="false" ht="15" hidden="false" customHeight="false" outlineLevel="0" collapsed="false">
      <c r="E661" s="4"/>
      <c r="L661" s="4"/>
    </row>
    <row r="662" customFormat="false" ht="15" hidden="false" customHeight="false" outlineLevel="0" collapsed="false">
      <c r="E662" s="4"/>
      <c r="L662" s="4"/>
    </row>
    <row r="663" customFormat="false" ht="15" hidden="false" customHeight="false" outlineLevel="0" collapsed="false">
      <c r="E663" s="4"/>
      <c r="L663" s="4"/>
    </row>
    <row r="664" customFormat="false" ht="15" hidden="false" customHeight="false" outlineLevel="0" collapsed="false">
      <c r="E664" s="4"/>
      <c r="L664" s="4"/>
    </row>
    <row r="665" customFormat="false" ht="15" hidden="false" customHeight="false" outlineLevel="0" collapsed="false">
      <c r="E665" s="4"/>
      <c r="L665" s="4"/>
    </row>
    <row r="666" customFormat="false" ht="15" hidden="false" customHeight="false" outlineLevel="0" collapsed="false">
      <c r="E666" s="4"/>
      <c r="L666" s="4"/>
    </row>
    <row r="667" customFormat="false" ht="15" hidden="false" customHeight="false" outlineLevel="0" collapsed="false">
      <c r="E667" s="4"/>
      <c r="L667" s="4"/>
    </row>
    <row r="668" customFormat="false" ht="15" hidden="false" customHeight="false" outlineLevel="0" collapsed="false">
      <c r="E668" s="4"/>
      <c r="L668" s="4"/>
    </row>
    <row r="669" customFormat="false" ht="15" hidden="false" customHeight="false" outlineLevel="0" collapsed="false">
      <c r="E669" s="4"/>
      <c r="L669" s="4"/>
    </row>
    <row r="670" customFormat="false" ht="15" hidden="false" customHeight="false" outlineLevel="0" collapsed="false">
      <c r="E670" s="4"/>
      <c r="L670" s="4"/>
    </row>
    <row r="671" customFormat="false" ht="15" hidden="false" customHeight="false" outlineLevel="0" collapsed="false">
      <c r="E671" s="4"/>
      <c r="L671" s="4"/>
    </row>
    <row r="672" customFormat="false" ht="15" hidden="false" customHeight="false" outlineLevel="0" collapsed="false">
      <c r="E672" s="4"/>
      <c r="L672" s="4"/>
    </row>
    <row r="673" customFormat="false" ht="15" hidden="false" customHeight="false" outlineLevel="0" collapsed="false">
      <c r="E673" s="4"/>
      <c r="L673" s="4"/>
    </row>
    <row r="674" customFormat="false" ht="15" hidden="false" customHeight="false" outlineLevel="0" collapsed="false">
      <c r="E674" s="4"/>
      <c r="L674" s="4"/>
    </row>
    <row r="675" customFormat="false" ht="15" hidden="false" customHeight="false" outlineLevel="0" collapsed="false">
      <c r="E675" s="4"/>
      <c r="L675" s="4"/>
    </row>
    <row r="676" customFormat="false" ht="15" hidden="false" customHeight="false" outlineLevel="0" collapsed="false">
      <c r="E676" s="4"/>
      <c r="L676" s="4"/>
    </row>
    <row r="677" customFormat="false" ht="15" hidden="false" customHeight="false" outlineLevel="0" collapsed="false">
      <c r="E677" s="4"/>
      <c r="L677" s="4"/>
    </row>
    <row r="678" customFormat="false" ht="15" hidden="false" customHeight="false" outlineLevel="0" collapsed="false">
      <c r="E678" s="4"/>
      <c r="L678" s="4"/>
    </row>
    <row r="679" customFormat="false" ht="15" hidden="false" customHeight="false" outlineLevel="0" collapsed="false">
      <c r="E679" s="4"/>
      <c r="L679" s="4"/>
    </row>
    <row r="680" customFormat="false" ht="15" hidden="false" customHeight="false" outlineLevel="0" collapsed="false">
      <c r="E680" s="4"/>
      <c r="L680" s="4"/>
    </row>
    <row r="681" customFormat="false" ht="15" hidden="false" customHeight="false" outlineLevel="0" collapsed="false">
      <c r="E681" s="4"/>
      <c r="L681" s="4"/>
    </row>
    <row r="682" customFormat="false" ht="15" hidden="false" customHeight="false" outlineLevel="0" collapsed="false">
      <c r="E682" s="4"/>
      <c r="L682" s="4"/>
    </row>
    <row r="683" customFormat="false" ht="15" hidden="false" customHeight="false" outlineLevel="0" collapsed="false">
      <c r="E683" s="4"/>
      <c r="L683" s="4"/>
    </row>
    <row r="684" customFormat="false" ht="15" hidden="false" customHeight="false" outlineLevel="0" collapsed="false">
      <c r="E684" s="4"/>
      <c r="L684" s="4"/>
    </row>
    <row r="685" customFormat="false" ht="15" hidden="false" customHeight="false" outlineLevel="0" collapsed="false">
      <c r="E685" s="4"/>
      <c r="L685" s="4"/>
    </row>
    <row r="686" customFormat="false" ht="15" hidden="false" customHeight="false" outlineLevel="0" collapsed="false">
      <c r="E686" s="4"/>
      <c r="L686" s="4"/>
    </row>
    <row r="687" customFormat="false" ht="15" hidden="false" customHeight="false" outlineLevel="0" collapsed="false">
      <c r="E687" s="4"/>
      <c r="L687" s="4"/>
    </row>
    <row r="688" customFormat="false" ht="15" hidden="false" customHeight="false" outlineLevel="0" collapsed="false">
      <c r="E688" s="4"/>
      <c r="L688" s="4"/>
    </row>
    <row r="689" customFormat="false" ht="15" hidden="false" customHeight="false" outlineLevel="0" collapsed="false">
      <c r="E689" s="4"/>
      <c r="L689" s="4"/>
    </row>
    <row r="690" customFormat="false" ht="15" hidden="false" customHeight="false" outlineLevel="0" collapsed="false">
      <c r="E690" s="4"/>
      <c r="L690" s="4"/>
    </row>
    <row r="691" customFormat="false" ht="15" hidden="false" customHeight="false" outlineLevel="0" collapsed="false">
      <c r="E691" s="4"/>
      <c r="L691" s="4"/>
    </row>
    <row r="692" customFormat="false" ht="15" hidden="false" customHeight="false" outlineLevel="0" collapsed="false">
      <c r="E692" s="4"/>
      <c r="L692" s="4"/>
    </row>
    <row r="693" customFormat="false" ht="15" hidden="false" customHeight="false" outlineLevel="0" collapsed="false">
      <c r="E693" s="4"/>
      <c r="L693" s="4"/>
    </row>
    <row r="694" customFormat="false" ht="15" hidden="false" customHeight="false" outlineLevel="0" collapsed="false">
      <c r="E694" s="4"/>
      <c r="L694" s="4"/>
    </row>
    <row r="695" customFormat="false" ht="15" hidden="false" customHeight="false" outlineLevel="0" collapsed="false">
      <c r="E695" s="4"/>
      <c r="L695" s="4"/>
    </row>
    <row r="696" customFormat="false" ht="15" hidden="false" customHeight="false" outlineLevel="0" collapsed="false">
      <c r="E696" s="4"/>
      <c r="L696" s="4"/>
    </row>
    <row r="697" customFormat="false" ht="15" hidden="false" customHeight="false" outlineLevel="0" collapsed="false">
      <c r="E697" s="4"/>
      <c r="L697" s="4"/>
    </row>
    <row r="698" customFormat="false" ht="15" hidden="false" customHeight="false" outlineLevel="0" collapsed="false">
      <c r="E698" s="4"/>
      <c r="L698" s="4"/>
    </row>
    <row r="699" customFormat="false" ht="15" hidden="false" customHeight="false" outlineLevel="0" collapsed="false">
      <c r="E699" s="4"/>
      <c r="L699" s="4"/>
    </row>
    <row r="700" customFormat="false" ht="15" hidden="false" customHeight="false" outlineLevel="0" collapsed="false">
      <c r="E700" s="4"/>
      <c r="L700" s="4"/>
    </row>
    <row r="701" customFormat="false" ht="15" hidden="false" customHeight="false" outlineLevel="0" collapsed="false">
      <c r="E701" s="4"/>
      <c r="L701" s="4"/>
    </row>
    <row r="702" customFormat="false" ht="15" hidden="false" customHeight="false" outlineLevel="0" collapsed="false">
      <c r="E702" s="4"/>
      <c r="L702" s="4"/>
    </row>
    <row r="703" customFormat="false" ht="15" hidden="false" customHeight="false" outlineLevel="0" collapsed="false">
      <c r="E703" s="4"/>
      <c r="L703" s="4"/>
    </row>
    <row r="704" customFormat="false" ht="15" hidden="false" customHeight="false" outlineLevel="0" collapsed="false">
      <c r="E704" s="4"/>
      <c r="L704" s="4"/>
    </row>
    <row r="705" customFormat="false" ht="15" hidden="false" customHeight="false" outlineLevel="0" collapsed="false">
      <c r="E705" s="4"/>
      <c r="L705" s="4"/>
    </row>
    <row r="706" customFormat="false" ht="15" hidden="false" customHeight="false" outlineLevel="0" collapsed="false">
      <c r="E706" s="4"/>
      <c r="L706" s="4"/>
    </row>
    <row r="707" customFormat="false" ht="15" hidden="false" customHeight="false" outlineLevel="0" collapsed="false">
      <c r="E707" s="4"/>
      <c r="L707" s="4"/>
    </row>
    <row r="708" customFormat="false" ht="15" hidden="false" customHeight="false" outlineLevel="0" collapsed="false">
      <c r="E708" s="4"/>
      <c r="L708" s="4"/>
    </row>
    <row r="709" customFormat="false" ht="15" hidden="false" customHeight="false" outlineLevel="0" collapsed="false">
      <c r="E709" s="4"/>
      <c r="L709" s="4"/>
    </row>
    <row r="710" customFormat="false" ht="15" hidden="false" customHeight="false" outlineLevel="0" collapsed="false">
      <c r="E710" s="4"/>
      <c r="L710" s="4"/>
    </row>
    <row r="711" customFormat="false" ht="15" hidden="false" customHeight="false" outlineLevel="0" collapsed="false">
      <c r="E711" s="4"/>
      <c r="L711" s="4"/>
    </row>
    <row r="712" customFormat="false" ht="15" hidden="false" customHeight="false" outlineLevel="0" collapsed="false">
      <c r="E712" s="4"/>
      <c r="L712" s="4"/>
    </row>
    <row r="713" customFormat="false" ht="15" hidden="false" customHeight="false" outlineLevel="0" collapsed="false">
      <c r="E713" s="4"/>
      <c r="L713" s="4"/>
    </row>
    <row r="714" customFormat="false" ht="15" hidden="false" customHeight="false" outlineLevel="0" collapsed="false">
      <c r="E714" s="4"/>
      <c r="L714" s="4"/>
    </row>
    <row r="715" customFormat="false" ht="15" hidden="false" customHeight="false" outlineLevel="0" collapsed="false">
      <c r="E715" s="4"/>
      <c r="L715" s="4"/>
    </row>
    <row r="716" customFormat="false" ht="15" hidden="false" customHeight="false" outlineLevel="0" collapsed="false">
      <c r="E716" s="4"/>
      <c r="L716" s="4"/>
    </row>
    <row r="717" customFormat="false" ht="15" hidden="false" customHeight="false" outlineLevel="0" collapsed="false">
      <c r="E717" s="4"/>
      <c r="L717" s="4"/>
    </row>
    <row r="718" customFormat="false" ht="15" hidden="false" customHeight="false" outlineLevel="0" collapsed="false">
      <c r="E718" s="4"/>
      <c r="L718" s="4"/>
    </row>
    <row r="719" customFormat="false" ht="15" hidden="false" customHeight="false" outlineLevel="0" collapsed="false">
      <c r="E719" s="4"/>
      <c r="L719" s="4"/>
    </row>
    <row r="720" customFormat="false" ht="15" hidden="false" customHeight="false" outlineLevel="0" collapsed="false">
      <c r="E720" s="4"/>
      <c r="L720" s="4"/>
    </row>
    <row r="721" customFormat="false" ht="15" hidden="false" customHeight="false" outlineLevel="0" collapsed="false">
      <c r="E721" s="4"/>
      <c r="L721" s="4"/>
    </row>
    <row r="722" customFormat="false" ht="15" hidden="false" customHeight="false" outlineLevel="0" collapsed="false">
      <c r="E722" s="4"/>
      <c r="L722" s="4"/>
    </row>
    <row r="723" customFormat="false" ht="15" hidden="false" customHeight="false" outlineLevel="0" collapsed="false">
      <c r="E723" s="4"/>
      <c r="L723" s="4"/>
    </row>
    <row r="724" customFormat="false" ht="15" hidden="false" customHeight="false" outlineLevel="0" collapsed="false">
      <c r="E724" s="4"/>
      <c r="L724" s="4"/>
    </row>
    <row r="725" customFormat="false" ht="15" hidden="false" customHeight="false" outlineLevel="0" collapsed="false">
      <c r="E725" s="4"/>
      <c r="L725" s="4"/>
    </row>
    <row r="726" customFormat="false" ht="15" hidden="false" customHeight="false" outlineLevel="0" collapsed="false">
      <c r="E726" s="4"/>
      <c r="L726" s="4"/>
    </row>
    <row r="727" customFormat="false" ht="15" hidden="false" customHeight="false" outlineLevel="0" collapsed="false">
      <c r="E727" s="4"/>
      <c r="L727" s="4"/>
    </row>
    <row r="728" customFormat="false" ht="15" hidden="false" customHeight="false" outlineLevel="0" collapsed="false">
      <c r="E728" s="4"/>
      <c r="L728" s="4"/>
    </row>
    <row r="729" customFormat="false" ht="15" hidden="false" customHeight="false" outlineLevel="0" collapsed="false">
      <c r="E729" s="4"/>
      <c r="L729" s="4"/>
    </row>
    <row r="730" customFormat="false" ht="15" hidden="false" customHeight="false" outlineLevel="0" collapsed="false">
      <c r="E730" s="4"/>
      <c r="L730" s="4"/>
    </row>
    <row r="731" customFormat="false" ht="15" hidden="false" customHeight="false" outlineLevel="0" collapsed="false">
      <c r="E731" s="4"/>
      <c r="L731" s="4"/>
    </row>
    <row r="732" customFormat="false" ht="15" hidden="false" customHeight="false" outlineLevel="0" collapsed="false">
      <c r="E732" s="4"/>
      <c r="L732" s="4"/>
    </row>
    <row r="733" customFormat="false" ht="15" hidden="false" customHeight="false" outlineLevel="0" collapsed="false">
      <c r="E733" s="4"/>
      <c r="L733" s="4"/>
    </row>
    <row r="734" customFormat="false" ht="15" hidden="false" customHeight="false" outlineLevel="0" collapsed="false">
      <c r="E734" s="4"/>
      <c r="L734" s="4"/>
    </row>
    <row r="735" customFormat="false" ht="15" hidden="false" customHeight="false" outlineLevel="0" collapsed="false">
      <c r="E735" s="4"/>
      <c r="L735" s="4"/>
    </row>
    <row r="736" customFormat="false" ht="15" hidden="false" customHeight="false" outlineLevel="0" collapsed="false">
      <c r="E736" s="4"/>
      <c r="L736" s="4"/>
    </row>
    <row r="737" customFormat="false" ht="15" hidden="false" customHeight="false" outlineLevel="0" collapsed="false">
      <c r="E737" s="4"/>
      <c r="L737" s="4"/>
    </row>
    <row r="738" customFormat="false" ht="15" hidden="false" customHeight="false" outlineLevel="0" collapsed="false">
      <c r="E738" s="4"/>
      <c r="L738" s="4"/>
    </row>
    <row r="739" customFormat="false" ht="15" hidden="false" customHeight="false" outlineLevel="0" collapsed="false">
      <c r="E739" s="4"/>
      <c r="L739" s="4"/>
    </row>
    <row r="740" customFormat="false" ht="15" hidden="false" customHeight="false" outlineLevel="0" collapsed="false">
      <c r="E740" s="4"/>
      <c r="L740" s="4"/>
    </row>
    <row r="741" customFormat="false" ht="15" hidden="false" customHeight="false" outlineLevel="0" collapsed="false">
      <c r="E741" s="4"/>
      <c r="L741" s="4"/>
    </row>
    <row r="742" customFormat="false" ht="15" hidden="false" customHeight="false" outlineLevel="0" collapsed="false">
      <c r="E742" s="4"/>
      <c r="L742" s="4"/>
    </row>
    <row r="743" customFormat="false" ht="15" hidden="false" customHeight="false" outlineLevel="0" collapsed="false">
      <c r="E743" s="4"/>
      <c r="L743" s="4"/>
    </row>
    <row r="744" customFormat="false" ht="15" hidden="false" customHeight="false" outlineLevel="0" collapsed="false">
      <c r="E744" s="4"/>
      <c r="L744" s="4"/>
    </row>
    <row r="745" customFormat="false" ht="15" hidden="false" customHeight="false" outlineLevel="0" collapsed="false">
      <c r="E745" s="4"/>
      <c r="L745" s="4"/>
    </row>
    <row r="746" customFormat="false" ht="15" hidden="false" customHeight="false" outlineLevel="0" collapsed="false">
      <c r="E746" s="4"/>
      <c r="L746" s="4"/>
    </row>
    <row r="747" customFormat="false" ht="15" hidden="false" customHeight="false" outlineLevel="0" collapsed="false">
      <c r="E747" s="4"/>
      <c r="L747" s="4"/>
    </row>
    <row r="748" customFormat="false" ht="15" hidden="false" customHeight="false" outlineLevel="0" collapsed="false">
      <c r="E748" s="4"/>
      <c r="L748" s="4"/>
    </row>
    <row r="749" customFormat="false" ht="15" hidden="false" customHeight="false" outlineLevel="0" collapsed="false">
      <c r="E749" s="4"/>
      <c r="L749" s="4"/>
    </row>
    <row r="750" customFormat="false" ht="15" hidden="false" customHeight="false" outlineLevel="0" collapsed="false">
      <c r="E750" s="4"/>
      <c r="L750" s="4"/>
    </row>
    <row r="751" customFormat="false" ht="15" hidden="false" customHeight="false" outlineLevel="0" collapsed="false">
      <c r="E751" s="4"/>
      <c r="L751" s="4"/>
    </row>
    <row r="752" customFormat="false" ht="15" hidden="false" customHeight="false" outlineLevel="0" collapsed="false">
      <c r="E752" s="4"/>
      <c r="L752" s="4"/>
    </row>
    <row r="753" customFormat="false" ht="15" hidden="false" customHeight="false" outlineLevel="0" collapsed="false">
      <c r="E753" s="4"/>
      <c r="L753" s="4"/>
    </row>
    <row r="754" customFormat="false" ht="15" hidden="false" customHeight="false" outlineLevel="0" collapsed="false">
      <c r="E754" s="4"/>
      <c r="L754" s="4"/>
    </row>
    <row r="755" customFormat="false" ht="15" hidden="false" customHeight="false" outlineLevel="0" collapsed="false">
      <c r="E755" s="4"/>
      <c r="L755" s="4"/>
    </row>
    <row r="756" customFormat="false" ht="15" hidden="false" customHeight="false" outlineLevel="0" collapsed="false">
      <c r="E756" s="4"/>
      <c r="L756" s="4"/>
    </row>
    <row r="757" customFormat="false" ht="15" hidden="false" customHeight="false" outlineLevel="0" collapsed="false">
      <c r="E757" s="4"/>
      <c r="L757" s="4"/>
    </row>
    <row r="758" customFormat="false" ht="15" hidden="false" customHeight="false" outlineLevel="0" collapsed="false">
      <c r="E758" s="4"/>
      <c r="L758" s="4"/>
    </row>
    <row r="759" customFormat="false" ht="15" hidden="false" customHeight="false" outlineLevel="0" collapsed="false">
      <c r="E759" s="4"/>
      <c r="L759" s="4"/>
    </row>
    <row r="760" customFormat="false" ht="15" hidden="false" customHeight="false" outlineLevel="0" collapsed="false">
      <c r="E760" s="4"/>
      <c r="L760" s="4"/>
    </row>
    <row r="761" customFormat="false" ht="15" hidden="false" customHeight="false" outlineLevel="0" collapsed="false">
      <c r="E761" s="4"/>
      <c r="L761" s="4"/>
    </row>
    <row r="762" customFormat="false" ht="15" hidden="false" customHeight="false" outlineLevel="0" collapsed="false">
      <c r="E762" s="4"/>
      <c r="L762" s="4"/>
    </row>
    <row r="763" customFormat="false" ht="15" hidden="false" customHeight="false" outlineLevel="0" collapsed="false">
      <c r="E763" s="4"/>
      <c r="L763" s="4"/>
    </row>
    <row r="764" customFormat="false" ht="15" hidden="false" customHeight="false" outlineLevel="0" collapsed="false">
      <c r="E764" s="4"/>
      <c r="L764" s="4"/>
    </row>
    <row r="765" customFormat="false" ht="15" hidden="false" customHeight="false" outlineLevel="0" collapsed="false">
      <c r="E765" s="4"/>
      <c r="L765" s="4"/>
    </row>
    <row r="766" customFormat="false" ht="15" hidden="false" customHeight="false" outlineLevel="0" collapsed="false">
      <c r="E766" s="4"/>
      <c r="L766" s="4"/>
    </row>
    <row r="767" customFormat="false" ht="15" hidden="false" customHeight="false" outlineLevel="0" collapsed="false">
      <c r="E767" s="4"/>
      <c r="L767" s="4"/>
    </row>
    <row r="768" customFormat="false" ht="15" hidden="false" customHeight="false" outlineLevel="0" collapsed="false">
      <c r="E768" s="4"/>
      <c r="L768" s="4"/>
    </row>
    <row r="769" customFormat="false" ht="15" hidden="false" customHeight="false" outlineLevel="0" collapsed="false">
      <c r="E769" s="4"/>
      <c r="L769" s="4"/>
    </row>
    <row r="770" customFormat="false" ht="15" hidden="false" customHeight="false" outlineLevel="0" collapsed="false">
      <c r="E770" s="4"/>
      <c r="L770" s="4"/>
    </row>
    <row r="771" customFormat="false" ht="15" hidden="false" customHeight="false" outlineLevel="0" collapsed="false">
      <c r="E771" s="4"/>
      <c r="L771" s="4"/>
    </row>
    <row r="772" customFormat="false" ht="15" hidden="false" customHeight="false" outlineLevel="0" collapsed="false">
      <c r="E772" s="4"/>
      <c r="L772" s="4"/>
    </row>
    <row r="773" customFormat="false" ht="15" hidden="false" customHeight="false" outlineLevel="0" collapsed="false">
      <c r="E773" s="4"/>
      <c r="L773" s="4"/>
    </row>
    <row r="774" customFormat="false" ht="15" hidden="false" customHeight="false" outlineLevel="0" collapsed="false">
      <c r="E774" s="4"/>
      <c r="L774" s="4"/>
    </row>
    <row r="775" customFormat="false" ht="15" hidden="false" customHeight="false" outlineLevel="0" collapsed="false">
      <c r="E775" s="4"/>
      <c r="L775" s="4"/>
    </row>
    <row r="776" customFormat="false" ht="15" hidden="false" customHeight="false" outlineLevel="0" collapsed="false">
      <c r="E776" s="4"/>
      <c r="L776" s="4"/>
    </row>
    <row r="777" customFormat="false" ht="15" hidden="false" customHeight="false" outlineLevel="0" collapsed="false">
      <c r="E777" s="4"/>
      <c r="L777" s="4"/>
    </row>
    <row r="778" customFormat="false" ht="15" hidden="false" customHeight="false" outlineLevel="0" collapsed="false">
      <c r="E778" s="4"/>
      <c r="L778" s="4"/>
    </row>
    <row r="779" customFormat="false" ht="15" hidden="false" customHeight="false" outlineLevel="0" collapsed="false">
      <c r="E779" s="4"/>
      <c r="L779" s="4"/>
    </row>
    <row r="780" customFormat="false" ht="15" hidden="false" customHeight="false" outlineLevel="0" collapsed="false">
      <c r="E780" s="4"/>
      <c r="L780" s="4"/>
    </row>
    <row r="781" customFormat="false" ht="15" hidden="false" customHeight="false" outlineLevel="0" collapsed="false">
      <c r="E781" s="4"/>
      <c r="L781" s="4"/>
    </row>
    <row r="782" customFormat="false" ht="15" hidden="false" customHeight="false" outlineLevel="0" collapsed="false">
      <c r="E782" s="4"/>
      <c r="L782" s="4"/>
    </row>
    <row r="783" customFormat="false" ht="15" hidden="false" customHeight="false" outlineLevel="0" collapsed="false">
      <c r="E783" s="4"/>
      <c r="L783" s="4"/>
    </row>
    <row r="784" customFormat="false" ht="15" hidden="false" customHeight="false" outlineLevel="0" collapsed="false">
      <c r="E784" s="4"/>
      <c r="L784" s="4"/>
    </row>
    <row r="785" customFormat="false" ht="15" hidden="false" customHeight="false" outlineLevel="0" collapsed="false">
      <c r="E785" s="4"/>
      <c r="L785" s="4"/>
    </row>
    <row r="786" customFormat="false" ht="15" hidden="false" customHeight="false" outlineLevel="0" collapsed="false">
      <c r="E786" s="4"/>
      <c r="L786" s="4"/>
    </row>
    <row r="787" customFormat="false" ht="15" hidden="false" customHeight="false" outlineLevel="0" collapsed="false">
      <c r="E787" s="4"/>
      <c r="L787" s="4"/>
    </row>
    <row r="788" customFormat="false" ht="15" hidden="false" customHeight="false" outlineLevel="0" collapsed="false">
      <c r="E788" s="4"/>
      <c r="L788" s="4"/>
    </row>
    <row r="789" customFormat="false" ht="15" hidden="false" customHeight="false" outlineLevel="0" collapsed="false">
      <c r="E789" s="4"/>
      <c r="L789" s="4"/>
    </row>
    <row r="790" customFormat="false" ht="15" hidden="false" customHeight="false" outlineLevel="0" collapsed="false">
      <c r="E790" s="4"/>
      <c r="L790" s="4"/>
    </row>
    <row r="791" customFormat="false" ht="15" hidden="false" customHeight="false" outlineLevel="0" collapsed="false">
      <c r="E791" s="4"/>
      <c r="L791" s="4"/>
    </row>
    <row r="792" customFormat="false" ht="15" hidden="false" customHeight="false" outlineLevel="0" collapsed="false">
      <c r="E792" s="4"/>
      <c r="L792" s="4"/>
    </row>
    <row r="793" customFormat="false" ht="15" hidden="false" customHeight="false" outlineLevel="0" collapsed="false">
      <c r="E793" s="4"/>
      <c r="L793" s="4"/>
    </row>
    <row r="794" customFormat="false" ht="15" hidden="false" customHeight="false" outlineLevel="0" collapsed="false">
      <c r="E794" s="4"/>
      <c r="L794" s="4"/>
    </row>
    <row r="795" customFormat="false" ht="15" hidden="false" customHeight="false" outlineLevel="0" collapsed="false">
      <c r="E795" s="4"/>
      <c r="L795" s="4"/>
    </row>
    <row r="796" customFormat="false" ht="15" hidden="false" customHeight="false" outlineLevel="0" collapsed="false">
      <c r="E796" s="4"/>
      <c r="L796" s="4"/>
    </row>
    <row r="797" customFormat="false" ht="15" hidden="false" customHeight="false" outlineLevel="0" collapsed="false">
      <c r="E797" s="4"/>
      <c r="L797" s="4"/>
    </row>
    <row r="798" customFormat="false" ht="15" hidden="false" customHeight="false" outlineLevel="0" collapsed="false">
      <c r="E798" s="4"/>
      <c r="L798" s="4"/>
    </row>
    <row r="799" customFormat="false" ht="15" hidden="false" customHeight="false" outlineLevel="0" collapsed="false">
      <c r="E799" s="4"/>
      <c r="L799" s="4"/>
    </row>
    <row r="800" customFormat="false" ht="15" hidden="false" customHeight="false" outlineLevel="0" collapsed="false">
      <c r="E800" s="4"/>
      <c r="L800" s="4"/>
    </row>
    <row r="801" customFormat="false" ht="15" hidden="false" customHeight="false" outlineLevel="0" collapsed="false">
      <c r="E801" s="4"/>
      <c r="L801" s="4"/>
    </row>
    <row r="802" customFormat="false" ht="15" hidden="false" customHeight="false" outlineLevel="0" collapsed="false">
      <c r="E802" s="4"/>
      <c r="L802" s="4"/>
    </row>
    <row r="803" customFormat="false" ht="15" hidden="false" customHeight="false" outlineLevel="0" collapsed="false">
      <c r="E803" s="4"/>
      <c r="L803" s="4"/>
    </row>
    <row r="804" customFormat="false" ht="15" hidden="false" customHeight="false" outlineLevel="0" collapsed="false">
      <c r="E804" s="4"/>
      <c r="L804" s="4"/>
    </row>
    <row r="805" customFormat="false" ht="15" hidden="false" customHeight="false" outlineLevel="0" collapsed="false">
      <c r="E805" s="4"/>
      <c r="L805" s="4"/>
    </row>
    <row r="806" customFormat="false" ht="15" hidden="false" customHeight="false" outlineLevel="0" collapsed="false">
      <c r="E806" s="4"/>
      <c r="L806" s="4"/>
    </row>
    <row r="807" customFormat="false" ht="15" hidden="false" customHeight="false" outlineLevel="0" collapsed="false">
      <c r="E807" s="4"/>
      <c r="L807" s="4"/>
    </row>
    <row r="808" customFormat="false" ht="15" hidden="false" customHeight="false" outlineLevel="0" collapsed="false">
      <c r="E808" s="4"/>
      <c r="L808" s="4"/>
    </row>
    <row r="809" customFormat="false" ht="15" hidden="false" customHeight="false" outlineLevel="0" collapsed="false">
      <c r="E809" s="4"/>
      <c r="L809" s="4"/>
    </row>
    <row r="810" customFormat="false" ht="15" hidden="false" customHeight="false" outlineLevel="0" collapsed="false">
      <c r="E810" s="4"/>
      <c r="L810" s="4"/>
    </row>
    <row r="811" customFormat="false" ht="15" hidden="false" customHeight="false" outlineLevel="0" collapsed="false">
      <c r="E811" s="4"/>
      <c r="L811" s="4"/>
    </row>
    <row r="812" customFormat="false" ht="15" hidden="false" customHeight="false" outlineLevel="0" collapsed="false">
      <c r="E812" s="4"/>
      <c r="L812" s="4"/>
    </row>
    <row r="813" customFormat="false" ht="15" hidden="false" customHeight="false" outlineLevel="0" collapsed="false">
      <c r="E813" s="4"/>
      <c r="L813" s="4"/>
    </row>
    <row r="814" customFormat="false" ht="15" hidden="false" customHeight="false" outlineLevel="0" collapsed="false">
      <c r="E814" s="4"/>
      <c r="L814" s="4"/>
    </row>
    <row r="815" customFormat="false" ht="15" hidden="false" customHeight="false" outlineLevel="0" collapsed="false">
      <c r="E815" s="4"/>
      <c r="L815" s="4"/>
    </row>
    <row r="816" customFormat="false" ht="15" hidden="false" customHeight="false" outlineLevel="0" collapsed="false">
      <c r="E816" s="4"/>
      <c r="L816" s="4"/>
    </row>
    <row r="817" customFormat="false" ht="15" hidden="false" customHeight="false" outlineLevel="0" collapsed="false">
      <c r="E817" s="4"/>
      <c r="L817" s="4"/>
    </row>
    <row r="818" customFormat="false" ht="15" hidden="false" customHeight="false" outlineLevel="0" collapsed="false">
      <c r="E818" s="4"/>
      <c r="L818" s="4"/>
    </row>
    <row r="819" customFormat="false" ht="15" hidden="false" customHeight="false" outlineLevel="0" collapsed="false">
      <c r="E819" s="4"/>
      <c r="L819" s="4"/>
    </row>
    <row r="820" customFormat="false" ht="15" hidden="false" customHeight="false" outlineLevel="0" collapsed="false">
      <c r="E820" s="4"/>
      <c r="L820" s="4"/>
    </row>
    <row r="821" customFormat="false" ht="15" hidden="false" customHeight="false" outlineLevel="0" collapsed="false">
      <c r="E821" s="4"/>
      <c r="L821" s="4"/>
    </row>
    <row r="822" customFormat="false" ht="15" hidden="false" customHeight="false" outlineLevel="0" collapsed="false">
      <c r="E822" s="4"/>
      <c r="L822" s="4"/>
    </row>
    <row r="823" customFormat="false" ht="15" hidden="false" customHeight="false" outlineLevel="0" collapsed="false">
      <c r="E823" s="4"/>
      <c r="L823" s="4"/>
    </row>
    <row r="824" customFormat="false" ht="15" hidden="false" customHeight="false" outlineLevel="0" collapsed="false">
      <c r="E824" s="4"/>
      <c r="L824" s="4"/>
    </row>
    <row r="825" customFormat="false" ht="15" hidden="false" customHeight="false" outlineLevel="0" collapsed="false">
      <c r="E825" s="4"/>
      <c r="L825" s="4"/>
    </row>
    <row r="826" customFormat="false" ht="15" hidden="false" customHeight="false" outlineLevel="0" collapsed="false">
      <c r="E826" s="4"/>
      <c r="L826" s="4"/>
    </row>
    <row r="827" customFormat="false" ht="15" hidden="false" customHeight="false" outlineLevel="0" collapsed="false">
      <c r="E827" s="4"/>
      <c r="L827" s="4"/>
    </row>
    <row r="828" customFormat="false" ht="15" hidden="false" customHeight="false" outlineLevel="0" collapsed="false">
      <c r="E828" s="4"/>
      <c r="L828" s="4"/>
    </row>
    <row r="829" customFormat="false" ht="15" hidden="false" customHeight="false" outlineLevel="0" collapsed="false">
      <c r="E829" s="4"/>
      <c r="L829" s="4"/>
    </row>
    <row r="830" customFormat="false" ht="15" hidden="false" customHeight="false" outlineLevel="0" collapsed="false">
      <c r="E830" s="4"/>
      <c r="L830" s="4"/>
    </row>
    <row r="831" customFormat="false" ht="15" hidden="false" customHeight="false" outlineLevel="0" collapsed="false">
      <c r="E831" s="4"/>
      <c r="L831" s="4"/>
    </row>
    <row r="832" customFormat="false" ht="15" hidden="false" customHeight="false" outlineLevel="0" collapsed="false">
      <c r="E832" s="4"/>
      <c r="L832" s="4"/>
    </row>
    <row r="833" customFormat="false" ht="15" hidden="false" customHeight="false" outlineLevel="0" collapsed="false">
      <c r="E833" s="4"/>
      <c r="L833" s="4"/>
    </row>
    <row r="834" customFormat="false" ht="15" hidden="false" customHeight="false" outlineLevel="0" collapsed="false">
      <c r="E834" s="4"/>
      <c r="L834" s="4"/>
    </row>
    <row r="835" customFormat="false" ht="15" hidden="false" customHeight="false" outlineLevel="0" collapsed="false">
      <c r="E835" s="4"/>
      <c r="L835" s="4"/>
    </row>
    <row r="836" customFormat="false" ht="15" hidden="false" customHeight="false" outlineLevel="0" collapsed="false">
      <c r="E836" s="4"/>
      <c r="L836" s="4"/>
    </row>
    <row r="837" customFormat="false" ht="15" hidden="false" customHeight="false" outlineLevel="0" collapsed="false">
      <c r="E837" s="4"/>
      <c r="L837" s="4"/>
    </row>
    <row r="838" customFormat="false" ht="15" hidden="false" customHeight="false" outlineLevel="0" collapsed="false">
      <c r="E838" s="4"/>
      <c r="L838" s="4"/>
    </row>
    <row r="839" customFormat="false" ht="15" hidden="false" customHeight="false" outlineLevel="0" collapsed="false">
      <c r="E839" s="4"/>
      <c r="L839" s="4"/>
    </row>
    <row r="840" customFormat="false" ht="15" hidden="false" customHeight="false" outlineLevel="0" collapsed="false">
      <c r="E840" s="4"/>
      <c r="L840" s="4"/>
    </row>
    <row r="841" customFormat="false" ht="15" hidden="false" customHeight="false" outlineLevel="0" collapsed="false">
      <c r="E841" s="4"/>
      <c r="L841" s="4"/>
    </row>
    <row r="842" customFormat="false" ht="15" hidden="false" customHeight="false" outlineLevel="0" collapsed="false">
      <c r="E842" s="4"/>
      <c r="L842" s="4"/>
    </row>
    <row r="843" customFormat="false" ht="15" hidden="false" customHeight="false" outlineLevel="0" collapsed="false">
      <c r="E843" s="4"/>
      <c r="L843" s="4"/>
    </row>
    <row r="844" customFormat="false" ht="15" hidden="false" customHeight="false" outlineLevel="0" collapsed="false">
      <c r="E844" s="4"/>
      <c r="L844" s="4"/>
    </row>
    <row r="845" customFormat="false" ht="15" hidden="false" customHeight="false" outlineLevel="0" collapsed="false">
      <c r="E845" s="4"/>
      <c r="L845" s="4"/>
    </row>
    <row r="846" customFormat="false" ht="15" hidden="false" customHeight="false" outlineLevel="0" collapsed="false">
      <c r="E846" s="4"/>
      <c r="L846" s="4"/>
    </row>
    <row r="847" customFormat="false" ht="15" hidden="false" customHeight="false" outlineLevel="0" collapsed="false">
      <c r="E847" s="4"/>
      <c r="L847" s="4"/>
    </row>
    <row r="848" customFormat="false" ht="15" hidden="false" customHeight="false" outlineLevel="0" collapsed="false">
      <c r="E848" s="4"/>
      <c r="L848" s="4"/>
    </row>
    <row r="849" customFormat="false" ht="15" hidden="false" customHeight="false" outlineLevel="0" collapsed="false">
      <c r="E849" s="4"/>
      <c r="L849" s="4"/>
    </row>
    <row r="850" customFormat="false" ht="15" hidden="false" customHeight="false" outlineLevel="0" collapsed="false">
      <c r="E850" s="4"/>
      <c r="L850" s="4"/>
    </row>
    <row r="851" customFormat="false" ht="15" hidden="false" customHeight="false" outlineLevel="0" collapsed="false">
      <c r="E851" s="4"/>
      <c r="L851" s="4"/>
    </row>
    <row r="852" customFormat="false" ht="15" hidden="false" customHeight="false" outlineLevel="0" collapsed="false">
      <c r="E852" s="4"/>
      <c r="L852" s="4"/>
    </row>
    <row r="853" customFormat="false" ht="15" hidden="false" customHeight="false" outlineLevel="0" collapsed="false">
      <c r="E853" s="4"/>
      <c r="L853" s="4"/>
    </row>
    <row r="854" customFormat="false" ht="15" hidden="false" customHeight="false" outlineLevel="0" collapsed="false">
      <c r="E854" s="4"/>
      <c r="L854" s="4"/>
    </row>
    <row r="855" customFormat="false" ht="15" hidden="false" customHeight="false" outlineLevel="0" collapsed="false">
      <c r="E855" s="4"/>
      <c r="L855" s="4"/>
    </row>
    <row r="856" customFormat="false" ht="15" hidden="false" customHeight="false" outlineLevel="0" collapsed="false">
      <c r="E856" s="4"/>
      <c r="L856" s="4"/>
    </row>
    <row r="857" customFormat="false" ht="15" hidden="false" customHeight="false" outlineLevel="0" collapsed="false">
      <c r="E857" s="4"/>
      <c r="L857" s="4"/>
    </row>
    <row r="858" customFormat="false" ht="15" hidden="false" customHeight="false" outlineLevel="0" collapsed="false">
      <c r="E858" s="4"/>
      <c r="L858" s="4"/>
    </row>
    <row r="859" customFormat="false" ht="15" hidden="false" customHeight="false" outlineLevel="0" collapsed="false">
      <c r="E859" s="4"/>
      <c r="L859" s="4"/>
    </row>
    <row r="860" customFormat="false" ht="15" hidden="false" customHeight="false" outlineLevel="0" collapsed="false">
      <c r="E860" s="4"/>
      <c r="L860" s="4"/>
    </row>
    <row r="861" customFormat="false" ht="15" hidden="false" customHeight="false" outlineLevel="0" collapsed="false">
      <c r="E861" s="4"/>
      <c r="L861" s="4"/>
    </row>
    <row r="862" customFormat="false" ht="15" hidden="false" customHeight="false" outlineLevel="0" collapsed="false">
      <c r="E862" s="4"/>
      <c r="L862" s="4"/>
    </row>
    <row r="863" customFormat="false" ht="15" hidden="false" customHeight="false" outlineLevel="0" collapsed="false">
      <c r="E863" s="4"/>
      <c r="L863" s="4"/>
    </row>
    <row r="864" customFormat="false" ht="15" hidden="false" customHeight="false" outlineLevel="0" collapsed="false">
      <c r="E864" s="4"/>
      <c r="L864" s="4"/>
    </row>
    <row r="865" customFormat="false" ht="15" hidden="false" customHeight="false" outlineLevel="0" collapsed="false">
      <c r="E865" s="4"/>
      <c r="L865" s="4"/>
    </row>
    <row r="866" customFormat="false" ht="15" hidden="false" customHeight="false" outlineLevel="0" collapsed="false">
      <c r="E866" s="4"/>
      <c r="L866" s="4"/>
    </row>
    <row r="867" customFormat="false" ht="15" hidden="false" customHeight="false" outlineLevel="0" collapsed="false">
      <c r="E867" s="4"/>
      <c r="L867" s="4"/>
    </row>
    <row r="868" customFormat="false" ht="15" hidden="false" customHeight="false" outlineLevel="0" collapsed="false">
      <c r="E868" s="4"/>
      <c r="L868" s="4"/>
    </row>
    <row r="869" customFormat="false" ht="15" hidden="false" customHeight="false" outlineLevel="0" collapsed="false">
      <c r="E869" s="4"/>
      <c r="L869" s="4"/>
    </row>
    <row r="870" customFormat="false" ht="15" hidden="false" customHeight="false" outlineLevel="0" collapsed="false">
      <c r="E870" s="4"/>
      <c r="L870" s="4"/>
    </row>
    <row r="871" customFormat="false" ht="15" hidden="false" customHeight="false" outlineLevel="0" collapsed="false">
      <c r="E871" s="4"/>
      <c r="L871" s="4"/>
    </row>
    <row r="872" customFormat="false" ht="15" hidden="false" customHeight="false" outlineLevel="0" collapsed="false">
      <c r="E872" s="4"/>
      <c r="L872" s="4"/>
    </row>
    <row r="873" customFormat="false" ht="15" hidden="false" customHeight="false" outlineLevel="0" collapsed="false">
      <c r="E873" s="4"/>
      <c r="L873" s="4"/>
    </row>
    <row r="874" customFormat="false" ht="15" hidden="false" customHeight="false" outlineLevel="0" collapsed="false">
      <c r="E874" s="4"/>
      <c r="L874" s="4"/>
    </row>
    <row r="875" customFormat="false" ht="15" hidden="false" customHeight="false" outlineLevel="0" collapsed="false">
      <c r="E875" s="4"/>
      <c r="L875" s="4"/>
    </row>
    <row r="876" customFormat="false" ht="15" hidden="false" customHeight="false" outlineLevel="0" collapsed="false">
      <c r="E876" s="4"/>
      <c r="L876" s="4"/>
    </row>
    <row r="877" customFormat="false" ht="15" hidden="false" customHeight="false" outlineLevel="0" collapsed="false">
      <c r="E877" s="4"/>
      <c r="L877" s="4"/>
    </row>
    <row r="878" customFormat="false" ht="15" hidden="false" customHeight="false" outlineLevel="0" collapsed="false">
      <c r="E878" s="4"/>
      <c r="L878" s="4"/>
    </row>
    <row r="879" customFormat="false" ht="15" hidden="false" customHeight="false" outlineLevel="0" collapsed="false">
      <c r="E879" s="4"/>
      <c r="L879" s="4"/>
    </row>
    <row r="880" customFormat="false" ht="15" hidden="false" customHeight="false" outlineLevel="0" collapsed="false">
      <c r="E880" s="4"/>
      <c r="L880" s="4"/>
    </row>
    <row r="881" customFormat="false" ht="15" hidden="false" customHeight="false" outlineLevel="0" collapsed="false">
      <c r="E881" s="4"/>
      <c r="L881" s="4"/>
    </row>
    <row r="882" customFormat="false" ht="15" hidden="false" customHeight="false" outlineLevel="0" collapsed="false">
      <c r="E882" s="4"/>
      <c r="L882" s="4"/>
    </row>
    <row r="883" customFormat="false" ht="15" hidden="false" customHeight="false" outlineLevel="0" collapsed="false">
      <c r="E883" s="4"/>
      <c r="L883" s="4"/>
    </row>
    <row r="884" customFormat="false" ht="15" hidden="false" customHeight="false" outlineLevel="0" collapsed="false">
      <c r="E884" s="4"/>
      <c r="L884" s="4"/>
    </row>
    <row r="885" customFormat="false" ht="15" hidden="false" customHeight="false" outlineLevel="0" collapsed="false">
      <c r="E885" s="4"/>
      <c r="L885" s="4"/>
    </row>
    <row r="886" customFormat="false" ht="15" hidden="false" customHeight="false" outlineLevel="0" collapsed="false">
      <c r="E886" s="4"/>
      <c r="L886" s="4"/>
    </row>
    <row r="887" customFormat="false" ht="15" hidden="false" customHeight="false" outlineLevel="0" collapsed="false">
      <c r="E887" s="4"/>
      <c r="L887" s="4"/>
    </row>
    <row r="888" customFormat="false" ht="15" hidden="false" customHeight="false" outlineLevel="0" collapsed="false">
      <c r="E888" s="4"/>
      <c r="L888" s="4"/>
    </row>
    <row r="889" customFormat="false" ht="15" hidden="false" customHeight="false" outlineLevel="0" collapsed="false">
      <c r="E889" s="4"/>
      <c r="L889" s="4"/>
    </row>
    <row r="890" customFormat="false" ht="15" hidden="false" customHeight="false" outlineLevel="0" collapsed="false">
      <c r="E890" s="4"/>
      <c r="L890" s="4"/>
    </row>
    <row r="891" customFormat="false" ht="15" hidden="false" customHeight="false" outlineLevel="0" collapsed="false">
      <c r="E891" s="4"/>
      <c r="L891" s="4"/>
    </row>
    <row r="892" customFormat="false" ht="15" hidden="false" customHeight="false" outlineLevel="0" collapsed="false">
      <c r="E892" s="4"/>
      <c r="L892" s="4"/>
    </row>
    <row r="893" customFormat="false" ht="15" hidden="false" customHeight="false" outlineLevel="0" collapsed="false">
      <c r="E893" s="4"/>
      <c r="L893" s="4"/>
    </row>
    <row r="894" customFormat="false" ht="15" hidden="false" customHeight="false" outlineLevel="0" collapsed="false">
      <c r="E894" s="4"/>
      <c r="L894" s="4"/>
    </row>
    <row r="895" customFormat="false" ht="15" hidden="false" customHeight="false" outlineLevel="0" collapsed="false">
      <c r="E895" s="4"/>
      <c r="L895" s="4"/>
    </row>
    <row r="896" customFormat="false" ht="15" hidden="false" customHeight="false" outlineLevel="0" collapsed="false">
      <c r="E896" s="4"/>
      <c r="L896" s="4"/>
    </row>
    <row r="897" customFormat="false" ht="15" hidden="false" customHeight="false" outlineLevel="0" collapsed="false">
      <c r="E897" s="4"/>
      <c r="L897" s="4"/>
    </row>
    <row r="898" customFormat="false" ht="15" hidden="false" customHeight="false" outlineLevel="0" collapsed="false">
      <c r="E898" s="4"/>
      <c r="L898" s="4"/>
    </row>
    <row r="899" customFormat="false" ht="15" hidden="false" customHeight="false" outlineLevel="0" collapsed="false">
      <c r="E899" s="4"/>
      <c r="L899" s="4"/>
    </row>
    <row r="900" customFormat="false" ht="15" hidden="false" customHeight="false" outlineLevel="0" collapsed="false">
      <c r="E900" s="4"/>
      <c r="L900" s="4"/>
    </row>
    <row r="901" customFormat="false" ht="15" hidden="false" customHeight="false" outlineLevel="0" collapsed="false">
      <c r="E901" s="4"/>
      <c r="L901" s="4"/>
    </row>
    <row r="902" customFormat="false" ht="15" hidden="false" customHeight="false" outlineLevel="0" collapsed="false">
      <c r="E902" s="4"/>
      <c r="L902" s="4"/>
    </row>
    <row r="903" customFormat="false" ht="15" hidden="false" customHeight="false" outlineLevel="0" collapsed="false">
      <c r="E903" s="4"/>
      <c r="L903" s="4"/>
    </row>
    <row r="904" customFormat="false" ht="15" hidden="false" customHeight="false" outlineLevel="0" collapsed="false">
      <c r="E904" s="4"/>
      <c r="L904" s="4"/>
    </row>
    <row r="905" customFormat="false" ht="15" hidden="false" customHeight="false" outlineLevel="0" collapsed="false">
      <c r="E905" s="4"/>
      <c r="L905" s="4"/>
    </row>
    <row r="906" customFormat="false" ht="15" hidden="false" customHeight="false" outlineLevel="0" collapsed="false">
      <c r="E906" s="4"/>
      <c r="L906" s="4"/>
    </row>
    <row r="907" customFormat="false" ht="15" hidden="false" customHeight="false" outlineLevel="0" collapsed="false">
      <c r="E907" s="4"/>
      <c r="L907" s="4"/>
    </row>
    <row r="908" customFormat="false" ht="15" hidden="false" customHeight="false" outlineLevel="0" collapsed="false">
      <c r="E908" s="4"/>
      <c r="L908" s="4"/>
    </row>
    <row r="909" customFormat="false" ht="15" hidden="false" customHeight="false" outlineLevel="0" collapsed="false">
      <c r="E909" s="4"/>
      <c r="L909" s="4"/>
    </row>
    <row r="910" customFormat="false" ht="15" hidden="false" customHeight="false" outlineLevel="0" collapsed="false">
      <c r="E910" s="4"/>
      <c r="L910" s="4"/>
    </row>
    <row r="911" customFormat="false" ht="15" hidden="false" customHeight="false" outlineLevel="0" collapsed="false">
      <c r="E911" s="4"/>
      <c r="L911" s="4"/>
    </row>
    <row r="912" customFormat="false" ht="15" hidden="false" customHeight="false" outlineLevel="0" collapsed="false">
      <c r="E912" s="4"/>
      <c r="L912" s="4"/>
    </row>
    <row r="913" customFormat="false" ht="15" hidden="false" customHeight="false" outlineLevel="0" collapsed="false">
      <c r="E913" s="4"/>
      <c r="L913" s="4"/>
    </row>
    <row r="914" customFormat="false" ht="15" hidden="false" customHeight="false" outlineLevel="0" collapsed="false">
      <c r="E914" s="4"/>
      <c r="L914" s="4"/>
    </row>
    <row r="915" customFormat="false" ht="15" hidden="false" customHeight="false" outlineLevel="0" collapsed="false">
      <c r="E915" s="4"/>
      <c r="L915" s="4"/>
    </row>
    <row r="916" customFormat="false" ht="15" hidden="false" customHeight="false" outlineLevel="0" collapsed="false">
      <c r="E916" s="4"/>
      <c r="L916" s="4"/>
    </row>
    <row r="917" customFormat="false" ht="15" hidden="false" customHeight="false" outlineLevel="0" collapsed="false">
      <c r="E917" s="4"/>
      <c r="L917" s="4"/>
    </row>
    <row r="918" customFormat="false" ht="15" hidden="false" customHeight="false" outlineLevel="0" collapsed="false">
      <c r="E918" s="4"/>
      <c r="L918" s="4"/>
    </row>
    <row r="919" customFormat="false" ht="15" hidden="false" customHeight="false" outlineLevel="0" collapsed="false">
      <c r="E919" s="4"/>
      <c r="L919" s="4"/>
    </row>
    <row r="920" customFormat="false" ht="15" hidden="false" customHeight="false" outlineLevel="0" collapsed="false">
      <c r="E920" s="4"/>
      <c r="L920" s="4"/>
    </row>
    <row r="921" customFormat="false" ht="15" hidden="false" customHeight="false" outlineLevel="0" collapsed="false">
      <c r="E921" s="4"/>
      <c r="L921" s="4"/>
    </row>
    <row r="922" customFormat="false" ht="15" hidden="false" customHeight="false" outlineLevel="0" collapsed="false">
      <c r="E922" s="4"/>
      <c r="L922" s="4"/>
    </row>
    <row r="923" customFormat="false" ht="15" hidden="false" customHeight="false" outlineLevel="0" collapsed="false">
      <c r="E923" s="4"/>
      <c r="L923" s="4"/>
    </row>
    <row r="924" customFormat="false" ht="15" hidden="false" customHeight="false" outlineLevel="0" collapsed="false">
      <c r="E924" s="4"/>
      <c r="L924" s="4"/>
    </row>
    <row r="925" customFormat="false" ht="15" hidden="false" customHeight="false" outlineLevel="0" collapsed="false">
      <c r="E925" s="4"/>
      <c r="L925" s="4"/>
    </row>
    <row r="926" customFormat="false" ht="15" hidden="false" customHeight="false" outlineLevel="0" collapsed="false">
      <c r="E926" s="4"/>
      <c r="L926" s="4"/>
    </row>
    <row r="927" customFormat="false" ht="15" hidden="false" customHeight="false" outlineLevel="0" collapsed="false">
      <c r="E927" s="4"/>
      <c r="L927" s="4"/>
    </row>
    <row r="928" customFormat="false" ht="15" hidden="false" customHeight="false" outlineLevel="0" collapsed="false">
      <c r="E928" s="4"/>
      <c r="L928" s="4"/>
    </row>
    <row r="929" customFormat="false" ht="15" hidden="false" customHeight="false" outlineLevel="0" collapsed="false">
      <c r="E929" s="4"/>
      <c r="L929" s="4"/>
    </row>
    <row r="930" customFormat="false" ht="15" hidden="false" customHeight="false" outlineLevel="0" collapsed="false">
      <c r="E930" s="4"/>
      <c r="L930" s="4"/>
    </row>
    <row r="931" customFormat="false" ht="15" hidden="false" customHeight="false" outlineLevel="0" collapsed="false">
      <c r="E931" s="4"/>
      <c r="L931" s="4"/>
    </row>
    <row r="932" customFormat="false" ht="15" hidden="false" customHeight="false" outlineLevel="0" collapsed="false">
      <c r="E932" s="4"/>
      <c r="L932" s="4"/>
    </row>
    <row r="933" customFormat="false" ht="15" hidden="false" customHeight="false" outlineLevel="0" collapsed="false">
      <c r="E933" s="4"/>
      <c r="L933" s="4"/>
    </row>
    <row r="934" customFormat="false" ht="15" hidden="false" customHeight="false" outlineLevel="0" collapsed="false">
      <c r="E934" s="4"/>
      <c r="L934" s="4"/>
    </row>
    <row r="935" customFormat="false" ht="15" hidden="false" customHeight="false" outlineLevel="0" collapsed="false">
      <c r="E935" s="4"/>
      <c r="L935" s="4"/>
    </row>
    <row r="936" customFormat="false" ht="15" hidden="false" customHeight="false" outlineLevel="0" collapsed="false">
      <c r="E936" s="4"/>
      <c r="L936" s="4"/>
    </row>
    <row r="937" customFormat="false" ht="15" hidden="false" customHeight="false" outlineLevel="0" collapsed="false">
      <c r="E937" s="4"/>
      <c r="L937" s="4"/>
    </row>
    <row r="938" customFormat="false" ht="15" hidden="false" customHeight="false" outlineLevel="0" collapsed="false">
      <c r="E938" s="4"/>
      <c r="L938" s="4"/>
    </row>
    <row r="939" customFormat="false" ht="15" hidden="false" customHeight="false" outlineLevel="0" collapsed="false">
      <c r="E939" s="4"/>
      <c r="L939" s="4"/>
    </row>
    <row r="940" customFormat="false" ht="15" hidden="false" customHeight="false" outlineLevel="0" collapsed="false">
      <c r="E940" s="4"/>
      <c r="L940" s="4"/>
    </row>
    <row r="941" customFormat="false" ht="15" hidden="false" customHeight="false" outlineLevel="0" collapsed="false">
      <c r="E941" s="4"/>
      <c r="L941" s="4"/>
    </row>
    <row r="942" customFormat="false" ht="15" hidden="false" customHeight="false" outlineLevel="0" collapsed="false">
      <c r="E942" s="4"/>
      <c r="L942" s="4"/>
    </row>
    <row r="943" customFormat="false" ht="15" hidden="false" customHeight="false" outlineLevel="0" collapsed="false">
      <c r="E943" s="4"/>
      <c r="L943" s="4"/>
    </row>
    <row r="944" customFormat="false" ht="15" hidden="false" customHeight="false" outlineLevel="0" collapsed="false">
      <c r="E944" s="4"/>
      <c r="L944" s="4"/>
    </row>
    <row r="945" customFormat="false" ht="15" hidden="false" customHeight="false" outlineLevel="0" collapsed="false">
      <c r="E945" s="4"/>
      <c r="L945" s="4"/>
    </row>
    <row r="946" customFormat="false" ht="15" hidden="false" customHeight="false" outlineLevel="0" collapsed="false">
      <c r="E946" s="4"/>
      <c r="L946" s="4"/>
    </row>
    <row r="947" customFormat="false" ht="15" hidden="false" customHeight="false" outlineLevel="0" collapsed="false">
      <c r="E947" s="4"/>
      <c r="L947" s="4"/>
    </row>
    <row r="948" customFormat="false" ht="15" hidden="false" customHeight="false" outlineLevel="0" collapsed="false">
      <c r="E948" s="4"/>
      <c r="L948" s="4"/>
    </row>
    <row r="949" customFormat="false" ht="15" hidden="false" customHeight="false" outlineLevel="0" collapsed="false">
      <c r="E949" s="4"/>
      <c r="L949" s="4"/>
    </row>
    <row r="950" customFormat="false" ht="15" hidden="false" customHeight="false" outlineLevel="0" collapsed="false">
      <c r="E950" s="4"/>
      <c r="L950" s="4"/>
    </row>
    <row r="951" customFormat="false" ht="15" hidden="false" customHeight="false" outlineLevel="0" collapsed="false">
      <c r="E951" s="4"/>
      <c r="L951" s="4"/>
    </row>
    <row r="952" customFormat="false" ht="15" hidden="false" customHeight="false" outlineLevel="0" collapsed="false">
      <c r="E952" s="4"/>
      <c r="L952" s="4"/>
    </row>
    <row r="953" customFormat="false" ht="15" hidden="false" customHeight="false" outlineLevel="0" collapsed="false">
      <c r="E953" s="4"/>
      <c r="L953" s="4"/>
    </row>
    <row r="954" customFormat="false" ht="15" hidden="false" customHeight="false" outlineLevel="0" collapsed="false">
      <c r="E954" s="4"/>
      <c r="L954" s="4"/>
    </row>
    <row r="955" customFormat="false" ht="15" hidden="false" customHeight="false" outlineLevel="0" collapsed="false">
      <c r="E955" s="4"/>
      <c r="L955" s="4"/>
    </row>
    <row r="956" customFormat="false" ht="15" hidden="false" customHeight="false" outlineLevel="0" collapsed="false">
      <c r="E956" s="4"/>
      <c r="L956" s="4"/>
    </row>
    <row r="957" customFormat="false" ht="15" hidden="false" customHeight="false" outlineLevel="0" collapsed="false">
      <c r="E957" s="4"/>
      <c r="L957" s="4"/>
    </row>
    <row r="958" customFormat="false" ht="15" hidden="false" customHeight="false" outlineLevel="0" collapsed="false">
      <c r="E958" s="4"/>
      <c r="L958" s="4"/>
    </row>
    <row r="959" customFormat="false" ht="15" hidden="false" customHeight="false" outlineLevel="0" collapsed="false">
      <c r="E959" s="4"/>
      <c r="L959" s="4"/>
    </row>
    <row r="960" customFormat="false" ht="15" hidden="false" customHeight="false" outlineLevel="0" collapsed="false">
      <c r="E960" s="4"/>
      <c r="L960" s="4"/>
    </row>
    <row r="961" customFormat="false" ht="15" hidden="false" customHeight="false" outlineLevel="0" collapsed="false">
      <c r="E961" s="4"/>
      <c r="L961" s="4"/>
    </row>
    <row r="962" customFormat="false" ht="15" hidden="false" customHeight="false" outlineLevel="0" collapsed="false">
      <c r="E962" s="4"/>
      <c r="L962" s="4"/>
    </row>
    <row r="963" customFormat="false" ht="15" hidden="false" customHeight="false" outlineLevel="0" collapsed="false">
      <c r="E963" s="4"/>
      <c r="L963" s="4"/>
    </row>
    <row r="964" customFormat="false" ht="15" hidden="false" customHeight="false" outlineLevel="0" collapsed="false">
      <c r="E964" s="4"/>
      <c r="L964" s="4"/>
    </row>
    <row r="965" customFormat="false" ht="15" hidden="false" customHeight="false" outlineLevel="0" collapsed="false">
      <c r="E965" s="4"/>
      <c r="L965" s="4"/>
    </row>
    <row r="966" customFormat="false" ht="15" hidden="false" customHeight="false" outlineLevel="0" collapsed="false">
      <c r="E966" s="4"/>
      <c r="L966" s="4"/>
    </row>
    <row r="967" customFormat="false" ht="15" hidden="false" customHeight="false" outlineLevel="0" collapsed="false">
      <c r="E967" s="4"/>
      <c r="L967" s="4"/>
    </row>
    <row r="968" customFormat="false" ht="15" hidden="false" customHeight="false" outlineLevel="0" collapsed="false">
      <c r="E968" s="4"/>
      <c r="L968" s="4"/>
    </row>
    <row r="969" customFormat="false" ht="15" hidden="false" customHeight="false" outlineLevel="0" collapsed="false">
      <c r="E969" s="4"/>
      <c r="L969" s="4"/>
    </row>
    <row r="970" customFormat="false" ht="15" hidden="false" customHeight="false" outlineLevel="0" collapsed="false">
      <c r="E970" s="4"/>
      <c r="L970" s="4"/>
    </row>
    <row r="971" customFormat="false" ht="15" hidden="false" customHeight="false" outlineLevel="0" collapsed="false">
      <c r="E971" s="4"/>
      <c r="L971" s="4"/>
    </row>
    <row r="972" customFormat="false" ht="15" hidden="false" customHeight="false" outlineLevel="0" collapsed="false">
      <c r="E972" s="4"/>
      <c r="L972" s="4"/>
    </row>
    <row r="973" customFormat="false" ht="15" hidden="false" customHeight="false" outlineLevel="0" collapsed="false">
      <c r="E973" s="4"/>
      <c r="L973" s="4"/>
    </row>
    <row r="974" customFormat="false" ht="15" hidden="false" customHeight="false" outlineLevel="0" collapsed="false">
      <c r="E974" s="4"/>
      <c r="L974" s="4"/>
    </row>
    <row r="975" customFormat="false" ht="15" hidden="false" customHeight="false" outlineLevel="0" collapsed="false">
      <c r="E975" s="4"/>
      <c r="L975" s="4"/>
    </row>
    <row r="976" customFormat="false" ht="15" hidden="false" customHeight="false" outlineLevel="0" collapsed="false">
      <c r="E976" s="4"/>
      <c r="L976" s="4"/>
    </row>
    <row r="977" customFormat="false" ht="15" hidden="false" customHeight="false" outlineLevel="0" collapsed="false">
      <c r="E977" s="4"/>
      <c r="L977" s="4"/>
    </row>
    <row r="978" customFormat="false" ht="15" hidden="false" customHeight="false" outlineLevel="0" collapsed="false">
      <c r="E978" s="4"/>
      <c r="L978" s="4"/>
    </row>
    <row r="979" customFormat="false" ht="15" hidden="false" customHeight="false" outlineLevel="0" collapsed="false">
      <c r="E979" s="4"/>
      <c r="L979" s="4"/>
    </row>
    <row r="980" customFormat="false" ht="15" hidden="false" customHeight="false" outlineLevel="0" collapsed="false">
      <c r="E980" s="4"/>
      <c r="L980" s="4"/>
    </row>
    <row r="981" customFormat="false" ht="15" hidden="false" customHeight="false" outlineLevel="0" collapsed="false">
      <c r="E981" s="4"/>
      <c r="L981" s="4"/>
    </row>
    <row r="982" customFormat="false" ht="15" hidden="false" customHeight="false" outlineLevel="0" collapsed="false">
      <c r="E982" s="4"/>
      <c r="L982" s="4"/>
    </row>
    <row r="983" customFormat="false" ht="15" hidden="false" customHeight="false" outlineLevel="0" collapsed="false">
      <c r="E983" s="4"/>
      <c r="L983" s="4"/>
    </row>
    <row r="984" customFormat="false" ht="15" hidden="false" customHeight="false" outlineLevel="0" collapsed="false">
      <c r="E984" s="4"/>
      <c r="L984" s="4"/>
    </row>
    <row r="985" customFormat="false" ht="15" hidden="false" customHeight="false" outlineLevel="0" collapsed="false">
      <c r="E985" s="4"/>
      <c r="L985" s="4"/>
    </row>
    <row r="986" customFormat="false" ht="15" hidden="false" customHeight="false" outlineLevel="0" collapsed="false">
      <c r="E986" s="4"/>
      <c r="L986" s="4"/>
    </row>
    <row r="987" customFormat="false" ht="15" hidden="false" customHeight="false" outlineLevel="0" collapsed="false">
      <c r="E987" s="4"/>
      <c r="L987" s="4"/>
    </row>
    <row r="988" customFormat="false" ht="15" hidden="false" customHeight="false" outlineLevel="0" collapsed="false">
      <c r="E988" s="4"/>
      <c r="L988" s="4"/>
    </row>
    <row r="989" customFormat="false" ht="15" hidden="false" customHeight="false" outlineLevel="0" collapsed="false">
      <c r="E989" s="4"/>
      <c r="L989" s="4"/>
    </row>
    <row r="990" customFormat="false" ht="15" hidden="false" customHeight="false" outlineLevel="0" collapsed="false">
      <c r="E990" s="4"/>
      <c r="L990" s="4"/>
    </row>
    <row r="991" customFormat="false" ht="15" hidden="false" customHeight="false" outlineLevel="0" collapsed="false">
      <c r="E991" s="4"/>
      <c r="L991" s="4"/>
    </row>
    <row r="992" customFormat="false" ht="15" hidden="false" customHeight="false" outlineLevel="0" collapsed="false">
      <c r="E992" s="4"/>
      <c r="L992" s="4"/>
    </row>
    <row r="993" customFormat="false" ht="15" hidden="false" customHeight="false" outlineLevel="0" collapsed="false">
      <c r="E993" s="4"/>
      <c r="L993" s="4"/>
    </row>
    <row r="994" customFormat="false" ht="15" hidden="false" customHeight="false" outlineLevel="0" collapsed="false">
      <c r="E994" s="4"/>
      <c r="L994" s="4"/>
    </row>
    <row r="995" customFormat="false" ht="15" hidden="false" customHeight="false" outlineLevel="0" collapsed="false">
      <c r="E995" s="4"/>
      <c r="L995" s="4"/>
    </row>
    <row r="996" customFormat="false" ht="15" hidden="false" customHeight="false" outlineLevel="0" collapsed="false">
      <c r="E996" s="4"/>
      <c r="L996" s="4"/>
    </row>
    <row r="997" customFormat="false" ht="15" hidden="false" customHeight="false" outlineLevel="0" collapsed="false">
      <c r="E997" s="4"/>
      <c r="L997" s="4"/>
    </row>
    <row r="998" customFormat="false" ht="15" hidden="false" customHeight="false" outlineLevel="0" collapsed="false">
      <c r="E998" s="4"/>
      <c r="L998" s="4"/>
    </row>
    <row r="999" customFormat="false" ht="15" hidden="false" customHeight="false" outlineLevel="0" collapsed="false">
      <c r="E999" s="4"/>
      <c r="L999" s="4"/>
    </row>
    <row r="1000" customFormat="false" ht="15" hidden="false" customHeight="false" outlineLevel="0" collapsed="false">
      <c r="E1000" s="4"/>
      <c r="L1000" s="4"/>
    </row>
  </sheetData>
  <autoFilter ref="A1:M16"/>
  <dataValidations count="2">
    <dataValidation allowBlank="false" errorStyle="stop" operator="between" showDropDown="false" showErrorMessage="false" showInputMessage="false" sqref="E2:E1000" type="list">
      <formula1>"Denied,Pending,Paid,Rejected"</formula1>
      <formula2>0</formula2>
    </dataValidation>
    <dataValidation allowBlank="false" errorStyle="stop" operator="between" showDropDown="false" showErrorMessage="false" showInputMessage="false" sqref="L2:L1000" type="list">
      <formula1>"Tier 1,Tier 2,Tier 3"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24"/>
    <col collapsed="false" customWidth="true" hidden="false" outlineLevel="0" max="3" min="3" style="0" width="48"/>
    <col collapsed="false" customWidth="true" hidden="false" outlineLevel="0" max="5" min="4" style="0" width="52"/>
    <col collapsed="false" customWidth="true" hidden="false" outlineLevel="0" max="6" min="6" style="0" width="35"/>
  </cols>
  <sheetData>
    <row r="1" customFormat="false" ht="15" hidden="false" customHeight="false" outlineLevel="0" collapsed="false">
      <c r="A1" s="1" t="s">
        <v>10</v>
      </c>
      <c r="B1" s="1" t="s">
        <v>30</v>
      </c>
      <c r="C1" s="1" t="s">
        <v>102</v>
      </c>
      <c r="D1" s="1" t="s">
        <v>103</v>
      </c>
      <c r="E1" s="1" t="s">
        <v>104</v>
      </c>
      <c r="F1" s="1" t="s">
        <v>105</v>
      </c>
    </row>
    <row r="2" customFormat="false" ht="15" hidden="false" customHeight="false" outlineLevel="0" collapsed="false">
      <c r="A2" s="0" t="s">
        <v>17</v>
      </c>
      <c r="B2" s="0" t="s">
        <v>39</v>
      </c>
      <c r="C2" s="0" t="s">
        <v>106</v>
      </c>
      <c r="D2" s="0" t="s">
        <v>107</v>
      </c>
      <c r="E2" s="0" t="s">
        <v>108</v>
      </c>
      <c r="F2" s="0" t="s">
        <v>109</v>
      </c>
    </row>
    <row r="3" customFormat="false" ht="15" hidden="false" customHeight="false" outlineLevel="0" collapsed="false">
      <c r="A3" s="0" t="s">
        <v>15</v>
      </c>
      <c r="B3" s="0" t="s">
        <v>46</v>
      </c>
      <c r="C3" s="0" t="s">
        <v>110</v>
      </c>
      <c r="D3" s="0" t="s">
        <v>111</v>
      </c>
      <c r="E3" s="0" t="s">
        <v>112</v>
      </c>
      <c r="F3" s="0" t="s">
        <v>113</v>
      </c>
    </row>
    <row r="4" customFormat="false" ht="15" hidden="false" customHeight="false" outlineLevel="0" collapsed="false">
      <c r="A4" s="0" t="s">
        <v>19</v>
      </c>
      <c r="B4" s="0" t="s">
        <v>66</v>
      </c>
      <c r="C4" s="0" t="s">
        <v>114</v>
      </c>
      <c r="D4" s="0" t="s">
        <v>115</v>
      </c>
      <c r="E4" s="0" t="s">
        <v>116</v>
      </c>
      <c r="F4" s="0" t="s">
        <v>117</v>
      </c>
    </row>
    <row r="5" customFormat="false" ht="15" hidden="false" customHeight="false" outlineLevel="0" collapsed="false">
      <c r="A5" s="0" t="s">
        <v>21</v>
      </c>
      <c r="B5" s="0" t="s">
        <v>21</v>
      </c>
      <c r="C5" s="0" t="s">
        <v>118</v>
      </c>
      <c r="D5" s="0" t="s">
        <v>119</v>
      </c>
      <c r="E5" s="0" t="s">
        <v>120</v>
      </c>
      <c r="F5" s="0" t="s">
        <v>121</v>
      </c>
    </row>
    <row r="6" customFormat="false" ht="15" hidden="false" customHeight="false" outlineLevel="0" collapsed="false">
      <c r="A6" s="0" t="s">
        <v>22</v>
      </c>
      <c r="B6" s="0" t="s">
        <v>122</v>
      </c>
      <c r="C6" s="0" t="s">
        <v>123</v>
      </c>
      <c r="D6" s="0" t="s">
        <v>124</v>
      </c>
      <c r="E6" s="0" t="s">
        <v>125</v>
      </c>
      <c r="F6" s="0" t="s">
        <v>126</v>
      </c>
    </row>
    <row r="7" customFormat="false" ht="15" hidden="false" customHeight="false" outlineLevel="0" collapsed="false">
      <c r="A7" s="0" t="s">
        <v>23</v>
      </c>
      <c r="B7" s="0" t="s">
        <v>72</v>
      </c>
      <c r="C7" s="0" t="s">
        <v>127</v>
      </c>
      <c r="D7" s="0" t="s">
        <v>128</v>
      </c>
      <c r="E7" s="0" t="s">
        <v>129</v>
      </c>
      <c r="F7" s="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5" min="2" style="0" width="52"/>
  </cols>
  <sheetData>
    <row r="1" customFormat="false" ht="15" hidden="false" customHeight="false" outlineLevel="0" collapsed="false">
      <c r="A1" s="1" t="s">
        <v>13</v>
      </c>
      <c r="B1" s="1" t="s">
        <v>130</v>
      </c>
      <c r="C1" s="1" t="s">
        <v>131</v>
      </c>
      <c r="D1" s="1" t="s">
        <v>132</v>
      </c>
      <c r="E1" s="1" t="s">
        <v>133</v>
      </c>
    </row>
    <row r="2" customFormat="false" ht="15" hidden="false" customHeight="false" outlineLevel="0" collapsed="false">
      <c r="A2" s="0" t="s">
        <v>16</v>
      </c>
      <c r="B2" s="0" t="s">
        <v>134</v>
      </c>
      <c r="C2" s="0" t="s">
        <v>135</v>
      </c>
      <c r="D2" s="0" t="s">
        <v>136</v>
      </c>
      <c r="E2" s="0" t="s">
        <v>137</v>
      </c>
    </row>
    <row r="3" customFormat="false" ht="15" hidden="false" customHeight="false" outlineLevel="0" collapsed="false">
      <c r="A3" s="0" t="s">
        <v>18</v>
      </c>
      <c r="B3" s="0" t="s">
        <v>138</v>
      </c>
      <c r="C3" s="0" t="s">
        <v>139</v>
      </c>
      <c r="D3" s="0" t="s">
        <v>140</v>
      </c>
      <c r="E3" s="0" t="s">
        <v>141</v>
      </c>
    </row>
    <row r="4" customFormat="false" ht="15" hidden="false" customHeight="false" outlineLevel="0" collapsed="false">
      <c r="A4" s="0" t="s">
        <v>20</v>
      </c>
      <c r="B4" s="0" t="s">
        <v>142</v>
      </c>
      <c r="C4" s="0" t="s">
        <v>143</v>
      </c>
      <c r="D4" s="0" t="s">
        <v>144</v>
      </c>
      <c r="E4" s="0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49"/>
    <col collapsed="false" customWidth="true" hidden="false" outlineLevel="0" max="3" min="3" style="0" width="15"/>
    <col collapsed="false" customWidth="true" hidden="false" outlineLevel="0" max="4" min="4" style="0" width="39"/>
    <col collapsed="false" customWidth="true" hidden="false" outlineLevel="0" max="5" min="5" style="0" width="21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" t="s">
        <v>146</v>
      </c>
      <c r="B1" s="1" t="s">
        <v>147</v>
      </c>
      <c r="C1" s="1" t="s">
        <v>148</v>
      </c>
      <c r="D1" s="1" t="s">
        <v>149</v>
      </c>
      <c r="E1" s="1" t="s">
        <v>31</v>
      </c>
      <c r="F1" s="1" t="s">
        <v>150</v>
      </c>
    </row>
    <row r="2" customFormat="false" ht="15" hidden="false" customHeight="false" outlineLevel="0" collapsed="false">
      <c r="A2" s="0" t="s">
        <v>2</v>
      </c>
      <c r="B2" s="0" t="s">
        <v>151</v>
      </c>
      <c r="C2" s="0" t="n">
        <f aca="false">Dashboard!A5</f>
        <v>15</v>
      </c>
      <c r="D2" s="0" t="s">
        <v>152</v>
      </c>
      <c r="E2" s="0" t="s">
        <v>153</v>
      </c>
      <c r="F2" s="0" t="s">
        <v>154</v>
      </c>
    </row>
    <row r="3" customFormat="false" ht="15" hidden="false" customHeight="false" outlineLevel="0" collapsed="false">
      <c r="A3" s="0" t="s">
        <v>3</v>
      </c>
      <c r="B3" s="0" t="s">
        <v>155</v>
      </c>
      <c r="C3" s="2" t="n">
        <f aca="false">Dashboard!C5</f>
        <v>0.333333333333333</v>
      </c>
      <c r="D3" s="0" t="s">
        <v>156</v>
      </c>
      <c r="E3" s="0" t="s">
        <v>153</v>
      </c>
      <c r="F3" s="0" t="s">
        <v>157</v>
      </c>
    </row>
    <row r="4" customFormat="false" ht="15" hidden="false" customHeight="false" outlineLevel="0" collapsed="false">
      <c r="A4" s="0" t="s">
        <v>4</v>
      </c>
      <c r="B4" s="0" t="s">
        <v>158</v>
      </c>
      <c r="C4" s="2" t="n">
        <f aca="false">Dashboard!E5</f>
        <v>0.2</v>
      </c>
      <c r="D4" s="0" t="s">
        <v>159</v>
      </c>
      <c r="E4" s="0" t="s">
        <v>160</v>
      </c>
      <c r="F4" s="0" t="s">
        <v>161</v>
      </c>
    </row>
    <row r="5" customFormat="false" ht="15" hidden="false" customHeight="false" outlineLevel="0" collapsed="false">
      <c r="A5" s="0" t="s">
        <v>5</v>
      </c>
      <c r="B5" s="0" t="s">
        <v>162</v>
      </c>
      <c r="C5" s="0" t="n">
        <f aca="false">Dashboard!G5</f>
        <v>20.2</v>
      </c>
      <c r="D5" s="0" t="s">
        <v>163</v>
      </c>
      <c r="E5" s="0" t="s">
        <v>164</v>
      </c>
      <c r="F5" s="0" t="s">
        <v>157</v>
      </c>
    </row>
    <row r="6" customFormat="false" ht="15" hidden="false" customHeight="false" outlineLevel="0" collapsed="false">
      <c r="A6" s="0" t="s">
        <v>6</v>
      </c>
      <c r="B6" s="0" t="s">
        <v>165</v>
      </c>
      <c r="C6" s="0" t="n">
        <f aca="false">Dashboard!A8</f>
        <v>7</v>
      </c>
      <c r="D6" s="0" t="s">
        <v>166</v>
      </c>
      <c r="E6" s="0" t="s">
        <v>153</v>
      </c>
      <c r="F6" s="0" t="s">
        <v>157</v>
      </c>
    </row>
    <row r="7" customFormat="false" ht="15" hidden="false" customHeight="false" outlineLevel="0" collapsed="false">
      <c r="A7" s="0" t="s">
        <v>7</v>
      </c>
      <c r="B7" s="0" t="s">
        <v>167</v>
      </c>
      <c r="C7" s="0" t="n">
        <f aca="false">Dashboard!C8</f>
        <v>2</v>
      </c>
      <c r="D7" s="0" t="s">
        <v>168</v>
      </c>
      <c r="E7" s="0" t="s">
        <v>47</v>
      </c>
      <c r="F7" s="0" t="s">
        <v>157</v>
      </c>
    </row>
    <row r="8" customFormat="false" ht="15" hidden="false" customHeight="false" outlineLevel="0" collapsed="false">
      <c r="A8" s="0" t="s">
        <v>8</v>
      </c>
      <c r="B8" s="0" t="s">
        <v>169</v>
      </c>
      <c r="C8" s="0" t="n">
        <f aca="false">Dashboard!E8</f>
        <v>2</v>
      </c>
      <c r="D8" s="0" t="s">
        <v>170</v>
      </c>
      <c r="E8" s="0" t="s">
        <v>171</v>
      </c>
      <c r="F8" s="0" t="s">
        <v>157</v>
      </c>
    </row>
    <row r="9" customFormat="false" ht="15" hidden="false" customHeight="false" outlineLevel="0" collapsed="false">
      <c r="A9" s="0" t="s">
        <v>9</v>
      </c>
      <c r="B9" s="0" t="s">
        <v>172</v>
      </c>
      <c r="C9" s="0" t="n">
        <f aca="false">Dashboard!G8</f>
        <v>7</v>
      </c>
      <c r="D9" s="0" t="s">
        <v>173</v>
      </c>
      <c r="E9" s="0" t="s">
        <v>174</v>
      </c>
      <c r="F9" s="0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2026-10-27T03:50:52Z</dcterms:created>
  <dc:creator>openpyxl</dc:creator>
  <dc:description/>
  <dc:language>en-US</dc:language>
  <cp:lastModifiedBy/>
  <dcterms:modified xsi:type="dcterms:W3CDTF">2026-10-27T03:50:52Z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