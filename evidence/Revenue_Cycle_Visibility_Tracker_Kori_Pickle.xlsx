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laim Tracker" sheetId="2" state="visible" r:id="rId2"/>
    <sheet name="Denial Root Causes" sheetId="3" state="visible" r:id="rId3"/>
    <sheet name="Workqueue Priority" sheetId="4" state="visible" r:id="rId4"/>
    <sheet name="Metric Definitions" sheetId="5" state="visible" r:id="rId5"/>
  </sheets>
  <definedNames>
    <definedName name="_xlnm._FilterDatabase" localSheetId="1" hidden="1">'Claim Tracker'!$A$1:$M$16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24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40" customWidth="1" min="2" max="2"/>
    <col width="52" customWidth="1" min="3" max="3"/>
    <col width="15" customWidth="1" min="4" max="4"/>
    <col width="52" customWidth="1" min="5" max="5"/>
    <col width="40" customWidth="1" min="6" max="6"/>
    <col width="52" customWidth="1" min="7" max="7"/>
  </cols>
  <sheetData>
    <row r="1">
      <c r="A1" s="1" t="inlineStr">
        <is>
          <t>Revenue Cycle Visibility Tracker</t>
        </is>
      </c>
      <c r="B1" s="1" t="n"/>
      <c r="C1" s="1" t="n"/>
      <c r="D1" s="1" t="n"/>
      <c r="E1" s="1" t="n"/>
      <c r="F1" s="1" t="n"/>
      <c r="G1" s="1" t="n"/>
    </row>
    <row r="2">
      <c r="A2" t="inlineStr">
        <is>
          <t>Created by Kori Pickle | Simulated Data Only | No PHI</t>
        </is>
      </c>
    </row>
    <row r="3"/>
    <row r="4">
      <c r="A4" t="inlineStr">
        <is>
          <t>Total Claims Tracked</t>
        </is>
      </c>
      <c r="C4" t="inlineStr">
        <is>
          <t>Denial Rate</t>
        </is>
      </c>
      <c r="E4" t="inlineStr">
        <is>
          <t>Clean Claim Rate</t>
        </is>
      </c>
      <c r="G4" t="inlineStr">
        <is>
          <t>Average Days in A/R</t>
        </is>
      </c>
    </row>
    <row r="5">
      <c r="A5">
        <f>COUNTA('Claim Tracker'!A2:A1000)</f>
        <v/>
      </c>
      <c r="C5" s="2">
        <f>COUNTIF('Claim Tracker'!E2:E1000,"Denied")/COUNTA('Claim Tracker'!A2:A1000)</f>
        <v/>
      </c>
      <c r="E5" s="2">
        <f>COUNTIF('Claim Tracker'!F2:F1000,"Clean Claim")/COUNTA('Claim Tracker'!A2:A1000)</f>
        <v/>
      </c>
      <c r="G5">
        <f>AVERAGE('Claim Tracker'!K2:K1000)</f>
        <v/>
      </c>
    </row>
    <row r="6"/>
    <row r="7">
      <c r="A7" t="inlineStr">
        <is>
          <t>High-Risk Accounts</t>
        </is>
      </c>
      <c r="C7" t="inlineStr">
        <is>
          <t>Authorization Denials</t>
        </is>
      </c>
      <c r="E7" t="inlineStr">
        <is>
          <t>Eligibility Denials</t>
        </is>
      </c>
      <c r="G7" t="inlineStr">
        <is>
          <t>Rework Volume</t>
        </is>
      </c>
    </row>
    <row r="8">
      <c r="A8">
        <f>COUNTIF('Claim Tracker'!L2:L1000,"Tier 1")</f>
        <v/>
      </c>
      <c r="C8">
        <f>COUNTIFS('Claim Tracker'!E2:E1000,"Denied",'Claim Tracker'!F2:F1000,"Authorization")</f>
        <v/>
      </c>
      <c r="E8">
        <f>COUNTIFS('Claim Tracker'!E2:E1000,"Denied",'Claim Tracker'!F2:F1000,"Eligibility")</f>
        <v/>
      </c>
      <c r="G8">
        <f>COUNTIF('Claim Tracker'!E2:E1000,"Denied")+COUNTIF('Claim Tracker'!E2:E1000,"Rejected")</f>
        <v/>
      </c>
    </row>
    <row r="9"/>
    <row r="10">
      <c r="A10" t="inlineStr">
        <is>
          <t>Root Cause Category</t>
        </is>
      </c>
      <c r="B10" t="inlineStr">
        <is>
          <t>Claim Count</t>
        </is>
      </c>
      <c r="C10" t="inlineStr">
        <is>
          <t>Denial Count</t>
        </is>
      </c>
      <c r="E10" t="inlineStr">
        <is>
          <t>Priority Tier</t>
        </is>
      </c>
      <c r="F10" t="inlineStr">
        <is>
          <t>Claim Count</t>
        </is>
      </c>
      <c r="G10" t="inlineStr">
        <is>
          <t>Total Amount</t>
        </is>
      </c>
    </row>
    <row r="11">
      <c r="A11" t="inlineStr">
        <is>
          <t>Authorization</t>
        </is>
      </c>
      <c r="B11">
        <f>COUNTIF('Claim Tracker'!F2:F1000,A11)</f>
        <v/>
      </c>
      <c r="C11">
        <f>COUNTIFS('Claim Tracker'!F2:F1000,A11,'Claim Tracker'!E2:E1000,"Denied")</f>
        <v/>
      </c>
      <c r="E11" t="inlineStr">
        <is>
          <t>Tier 1</t>
        </is>
      </c>
      <c r="F11">
        <f>COUNTIF('Claim Tracker'!L2:L1000,E11)</f>
        <v/>
      </c>
      <c r="G11">
        <f>SUMIF('Claim Tracker'!L2:L1000,E11,'Claim Tracker'!D2:D1000)</f>
        <v/>
      </c>
    </row>
    <row r="12">
      <c r="A12" t="inlineStr">
        <is>
          <t>Eligibility</t>
        </is>
      </c>
      <c r="B12">
        <f>COUNTIF('Claim Tracker'!F2:F1000,A12)</f>
        <v/>
      </c>
      <c r="C12">
        <f>COUNTIFS('Claim Tracker'!F2:F1000,A12,'Claim Tracker'!E2:E1000,"Denied")</f>
        <v/>
      </c>
      <c r="E12" t="inlineStr">
        <is>
          <t>Tier 2</t>
        </is>
      </c>
      <c r="F12">
        <f>COUNTIF('Claim Tracker'!L2:L1000,E12)</f>
        <v/>
      </c>
      <c r="G12">
        <f>SUMIF('Claim Tracker'!L2:L1000,E12,'Claim Tracker'!D2:D1000)</f>
        <v/>
      </c>
    </row>
    <row r="13">
      <c r="A13" t="inlineStr">
        <is>
          <t>Documentation</t>
        </is>
      </c>
      <c r="B13">
        <f>COUNTIF('Claim Tracker'!F2:F1000,A13)</f>
        <v/>
      </c>
      <c r="C13">
        <f>COUNTIFS('Claim Tracker'!F2:F1000,A13,'Claim Tracker'!E2:E1000,"Denied")</f>
        <v/>
      </c>
      <c r="E13" t="inlineStr">
        <is>
          <t>Tier 3</t>
        </is>
      </c>
      <c r="F13">
        <f>COUNTIF('Claim Tracker'!L2:L1000,E13)</f>
        <v/>
      </c>
      <c r="G13">
        <f>SUMIF('Claim Tracker'!L2:L1000,E13,'Claim Tracker'!D2:D1000)</f>
        <v/>
      </c>
    </row>
    <row r="14">
      <c r="A14" t="inlineStr">
        <is>
          <t>Coding</t>
        </is>
      </c>
      <c r="B14">
        <f>COUNTIF('Claim Tracker'!F2:F1000,A14)</f>
        <v/>
      </c>
      <c r="C14">
        <f>COUNTIFS('Claim Tracker'!F2:F1000,A14,'Claim Tracker'!E2:E1000,"Denied")</f>
        <v/>
      </c>
    </row>
    <row r="15">
      <c r="A15" t="inlineStr">
        <is>
          <t>Payer/Data Error</t>
        </is>
      </c>
      <c r="B15">
        <f>COUNTIF('Claim Tracker'!F2:F1000,A15)</f>
        <v/>
      </c>
      <c r="C15">
        <f>COUNTIFS('Claim Tracker'!F2:F1000,A15,'Claim Tracker'!E2:E1000,"Denied")</f>
        <v/>
      </c>
    </row>
    <row r="16">
      <c r="A16" t="inlineStr">
        <is>
          <t>Payer Delay</t>
        </is>
      </c>
      <c r="B16">
        <f>COUNTIF('Claim Tracker'!F2:F1000,A16)</f>
        <v/>
      </c>
      <c r="C16">
        <f>COUNTIFS('Claim Tracker'!F2:F1000,A16,'Claim Tracker'!E2:E1000,"Denied")</f>
        <v/>
      </c>
    </row>
    <row r="17">
      <c r="A17" t="inlineStr">
        <is>
          <t>Clean Claim</t>
        </is>
      </c>
      <c r="B17">
        <f>COUNTIF('Claim Tracker'!F2:F1000,A17)</f>
        <v/>
      </c>
      <c r="C17">
        <f>COUNTIFS('Claim Tracker'!F2:F1000,A17,'Claim Tracker'!E2:E1000,"Denied")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8" customWidth="1" min="3" max="3"/>
    <col width="15" customWidth="1" min="4" max="4"/>
    <col width="16" customWidth="1" min="5" max="5"/>
    <col width="21" customWidth="1" min="6" max="6"/>
    <col width="24" customWidth="1" min="7" max="7"/>
    <col width="21" customWidth="1" min="8" max="8"/>
    <col width="38" customWidth="1" min="9" max="9"/>
    <col width="15" customWidth="1" min="10" max="10"/>
    <col width="15" customWidth="1" min="11" max="11"/>
    <col width="15" customWidth="1" min="12" max="12"/>
    <col width="35" customWidth="1" min="13" max="13"/>
  </cols>
  <sheetData>
    <row r="1">
      <c r="A1" s="1" t="inlineStr">
        <is>
          <t>Claim ID</t>
        </is>
      </c>
      <c r="B1" s="1" t="inlineStr">
        <is>
          <t>Service Date</t>
        </is>
      </c>
      <c r="C1" s="1" t="inlineStr">
        <is>
          <t>Payer</t>
        </is>
      </c>
      <c r="D1" s="1" t="inlineStr">
        <is>
          <t>Claim Amount</t>
        </is>
      </c>
      <c r="E1" s="1" t="inlineStr">
        <is>
          <t>Current Status</t>
        </is>
      </c>
      <c r="F1" s="1" t="inlineStr">
        <is>
          <t>Root Cause Category</t>
        </is>
      </c>
      <c r="G1" s="1" t="inlineStr">
        <is>
          <t>Workflow Source</t>
        </is>
      </c>
      <c r="H1" s="1" t="inlineStr">
        <is>
          <t>Owner</t>
        </is>
      </c>
      <c r="I1" s="1" t="inlineStr">
        <is>
          <t>Next Action</t>
        </is>
      </c>
      <c r="J1" s="1" t="inlineStr">
        <is>
          <t>Due Date</t>
        </is>
      </c>
      <c r="K1" s="1" t="inlineStr">
        <is>
          <t>Days in A/R</t>
        </is>
      </c>
      <c r="L1" s="1" t="inlineStr">
        <is>
          <t>Priority Tier</t>
        </is>
      </c>
      <c r="M1" s="1" t="inlineStr">
        <is>
          <t>Notes</t>
        </is>
      </c>
    </row>
    <row r="2">
      <c r="A2" t="inlineStr">
        <is>
          <t>CLM-1001</t>
        </is>
      </c>
      <c r="B2" t="n">
        <v>46143</v>
      </c>
      <c r="C2" t="inlineStr">
        <is>
          <t>BlueCross</t>
        </is>
      </c>
      <c r="D2" t="n">
        <v>1250</v>
      </c>
      <c r="E2" t="inlineStr">
        <is>
          <t>Denied</t>
        </is>
      </c>
      <c r="F2" t="inlineStr">
        <is>
          <t>Eligibility</t>
        </is>
      </c>
      <c r="G2" t="inlineStr">
        <is>
          <t>Patient Access</t>
        </is>
      </c>
      <c r="H2" t="inlineStr">
        <is>
          <t>Registration Lead</t>
        </is>
      </c>
      <c r="I2" t="inlineStr">
        <is>
          <t>Verify active coverage and resubmit</t>
        </is>
      </c>
      <c r="J2" t="n">
        <v>46150</v>
      </c>
      <c r="K2" t="n">
        <v>18</v>
      </c>
      <c r="L2" t="inlineStr">
        <is>
          <t>Tier 1</t>
        </is>
      </c>
      <c r="M2" t="inlineStr">
        <is>
          <t>High-dollar eligibility denial</t>
        </is>
      </c>
    </row>
    <row r="3">
      <c r="A3" t="inlineStr">
        <is>
          <t>CLM-1002</t>
        </is>
      </c>
      <c r="B3" t="n">
        <v>46144</v>
      </c>
      <c r="C3" t="inlineStr">
        <is>
          <t>Aetna</t>
        </is>
      </c>
      <c r="D3" t="n">
        <v>740</v>
      </c>
      <c r="E3" t="inlineStr">
        <is>
          <t>Pending</t>
        </is>
      </c>
      <c r="F3" t="inlineStr">
        <is>
          <t>Authorization</t>
        </is>
      </c>
      <c r="G3" t="inlineStr">
        <is>
          <t>Prior Authorization</t>
        </is>
      </c>
      <c r="H3" t="inlineStr">
        <is>
          <t>Auth Specialist</t>
        </is>
      </c>
      <c r="I3" t="inlineStr">
        <is>
          <t>Confirm approval number/date range</t>
        </is>
      </c>
      <c r="J3" t="n">
        <v>46149</v>
      </c>
      <c r="K3" t="n">
        <v>14</v>
      </c>
      <c r="L3" t="inlineStr">
        <is>
          <t>Tier 1</t>
        </is>
      </c>
      <c r="M3" t="inlineStr">
        <is>
          <t>Service occurred near auth window</t>
        </is>
      </c>
    </row>
    <row r="4">
      <c r="A4" t="inlineStr">
        <is>
          <t>CLM-1003</t>
        </is>
      </c>
      <c r="B4" t="n">
        <v>46145</v>
      </c>
      <c r="C4" t="inlineStr">
        <is>
          <t>UnitedHealthcare</t>
        </is>
      </c>
      <c r="D4" t="n">
        <v>430</v>
      </c>
      <c r="E4" t="inlineStr">
        <is>
          <t>Paid</t>
        </is>
      </c>
      <c r="F4" t="inlineStr">
        <is>
          <t>Clean Claim</t>
        </is>
      </c>
      <c r="G4" t="inlineStr">
        <is>
          <t>Billing</t>
        </is>
      </c>
      <c r="H4" t="inlineStr">
        <is>
          <t>Billing Analyst</t>
        </is>
      </c>
      <c r="I4" t="inlineStr">
        <is>
          <t>No action needed</t>
        </is>
      </c>
      <c r="J4" t="n">
        <v>46145</v>
      </c>
      <c r="K4" t="n">
        <v>8</v>
      </c>
      <c r="L4" t="inlineStr">
        <is>
          <t>Tier 3</t>
        </is>
      </c>
      <c r="M4" t="inlineStr">
        <is>
          <t>Clean payment</t>
        </is>
      </c>
    </row>
    <row r="5">
      <c r="A5" t="inlineStr">
        <is>
          <t>CLM-1004</t>
        </is>
      </c>
      <c r="B5" t="n">
        <v>46146</v>
      </c>
      <c r="C5" t="inlineStr">
        <is>
          <t>Cigna</t>
        </is>
      </c>
      <c r="D5" t="n">
        <v>980</v>
      </c>
      <c r="E5" t="inlineStr">
        <is>
          <t>Rejected</t>
        </is>
      </c>
      <c r="F5" t="inlineStr">
        <is>
          <t>Payer/Data Error</t>
        </is>
      </c>
      <c r="G5" t="inlineStr">
        <is>
          <t>Registration</t>
        </is>
      </c>
      <c r="H5" t="inlineStr">
        <is>
          <t>Patient Access Rep</t>
        </is>
      </c>
      <c r="I5" t="inlineStr">
        <is>
          <t>Correct member ID and rebill</t>
        </is>
      </c>
      <c r="J5" t="n">
        <v>46149</v>
      </c>
      <c r="K5" t="n">
        <v>11</v>
      </c>
      <c r="L5" t="inlineStr">
        <is>
          <t>Tier 2</t>
        </is>
      </c>
      <c r="M5" t="inlineStr">
        <is>
          <t>Demographic mismatch</t>
        </is>
      </c>
    </row>
    <row r="6">
      <c r="A6" t="inlineStr">
        <is>
          <t>CLM-1005</t>
        </is>
      </c>
      <c r="B6" t="n">
        <v>46147</v>
      </c>
      <c r="C6" t="inlineStr">
        <is>
          <t>Medicare</t>
        </is>
      </c>
      <c r="D6" t="n">
        <v>1800</v>
      </c>
      <c r="E6" t="inlineStr">
        <is>
          <t>Denied</t>
        </is>
      </c>
      <c r="F6" t="inlineStr">
        <is>
          <t>Documentation</t>
        </is>
      </c>
      <c r="G6" t="inlineStr">
        <is>
          <t>Clinical Documentation</t>
        </is>
      </c>
      <c r="H6" t="inlineStr">
        <is>
          <t>Documentation Owner</t>
        </is>
      </c>
      <c r="I6" t="inlineStr">
        <is>
          <t>Request missing documentation</t>
        </is>
      </c>
      <c r="J6" t="n">
        <v>46149</v>
      </c>
      <c r="K6" t="n">
        <v>27</v>
      </c>
      <c r="L6" t="inlineStr">
        <is>
          <t>Tier 1</t>
        </is>
      </c>
      <c r="M6" t="inlineStr">
        <is>
          <t>Medical necessity support missing</t>
        </is>
      </c>
    </row>
    <row r="7">
      <c r="A7" t="inlineStr">
        <is>
          <t>CLM-1006</t>
        </is>
      </c>
      <c r="B7" t="n">
        <v>46148</v>
      </c>
      <c r="C7" t="inlineStr">
        <is>
          <t>Medicaid</t>
        </is>
      </c>
      <c r="D7" t="n">
        <v>325</v>
      </c>
      <c r="E7" t="inlineStr">
        <is>
          <t>Pending</t>
        </is>
      </c>
      <c r="F7" t="inlineStr">
        <is>
          <t>Payer Delay</t>
        </is>
      </c>
      <c r="G7" t="inlineStr">
        <is>
          <t>A/R Follow-Up</t>
        </is>
      </c>
      <c r="H7" t="inlineStr">
        <is>
          <t>A/R Analyst</t>
        </is>
      </c>
      <c r="I7" t="inlineStr">
        <is>
          <t>Follow payer status</t>
        </is>
      </c>
      <c r="J7" t="n">
        <v>46154</v>
      </c>
      <c r="K7" t="n">
        <v>21</v>
      </c>
      <c r="L7" t="inlineStr">
        <is>
          <t>Tier 2</t>
        </is>
      </c>
      <c r="M7" t="inlineStr">
        <is>
          <t>Payer processing delay</t>
        </is>
      </c>
    </row>
    <row r="8">
      <c r="A8" t="inlineStr">
        <is>
          <t>CLM-1007</t>
        </is>
      </c>
      <c r="B8" t="n">
        <v>46149</v>
      </c>
      <c r="C8" t="inlineStr">
        <is>
          <t>Humana</t>
        </is>
      </c>
      <c r="D8" t="n">
        <v>650</v>
      </c>
      <c r="E8" t="inlineStr">
        <is>
          <t>Denied</t>
        </is>
      </c>
      <c r="F8" t="inlineStr">
        <is>
          <t>Authorization</t>
        </is>
      </c>
      <c r="G8" t="inlineStr">
        <is>
          <t>Prior Authorization</t>
        </is>
      </c>
      <c r="H8" t="inlineStr">
        <is>
          <t>Auth Specialist</t>
        </is>
      </c>
      <c r="I8" t="inlineStr">
        <is>
          <t>Appeal with auth evidence</t>
        </is>
      </c>
      <c r="J8" t="n">
        <v>46153</v>
      </c>
      <c r="K8" t="n">
        <v>34</v>
      </c>
      <c r="L8" t="inlineStr">
        <is>
          <t>Tier 1</t>
        </is>
      </c>
      <c r="M8" t="inlineStr">
        <is>
          <t>Authorization not matched</t>
        </is>
      </c>
    </row>
    <row r="9">
      <c r="A9" t="inlineStr">
        <is>
          <t>CLM-1008</t>
        </is>
      </c>
      <c r="B9" t="n">
        <v>46150</v>
      </c>
      <c r="C9" t="inlineStr">
        <is>
          <t>BlueCross</t>
        </is>
      </c>
      <c r="D9" t="n">
        <v>510</v>
      </c>
      <c r="E9" t="inlineStr">
        <is>
          <t>Paid</t>
        </is>
      </c>
      <c r="F9" t="inlineStr">
        <is>
          <t>Clean Claim</t>
        </is>
      </c>
      <c r="G9" t="inlineStr">
        <is>
          <t>Billing</t>
        </is>
      </c>
      <c r="H9" t="inlineStr">
        <is>
          <t>Billing Analyst</t>
        </is>
      </c>
      <c r="I9" t="inlineStr">
        <is>
          <t>No action needed</t>
        </is>
      </c>
      <c r="J9" t="n">
        <v>46150</v>
      </c>
      <c r="K9" t="n">
        <v>6</v>
      </c>
      <c r="L9" t="inlineStr">
        <is>
          <t>Tier 3</t>
        </is>
      </c>
      <c r="M9" t="inlineStr">
        <is>
          <t>Paid first pass</t>
        </is>
      </c>
    </row>
    <row r="10">
      <c r="A10" t="inlineStr">
        <is>
          <t>CLM-1009</t>
        </is>
      </c>
      <c r="B10" t="n">
        <v>46151</v>
      </c>
      <c r="C10" t="inlineStr">
        <is>
          <t>Aetna</t>
        </is>
      </c>
      <c r="D10" t="n">
        <v>1120</v>
      </c>
      <c r="E10" t="inlineStr">
        <is>
          <t>Pending</t>
        </is>
      </c>
      <c r="F10" t="inlineStr">
        <is>
          <t>Eligibility</t>
        </is>
      </c>
      <c r="G10" t="inlineStr">
        <is>
          <t>Patient Access</t>
        </is>
      </c>
      <c r="H10" t="inlineStr">
        <is>
          <t>Registration Lead</t>
        </is>
      </c>
      <c r="I10" t="inlineStr">
        <is>
          <t>Review COB and coverage</t>
        </is>
      </c>
      <c r="J10" t="n">
        <v>46159</v>
      </c>
      <c r="K10" t="n">
        <v>19</v>
      </c>
      <c r="L10" t="inlineStr">
        <is>
          <t>Tier 1</t>
        </is>
      </c>
      <c r="M10" t="inlineStr">
        <is>
          <t>COB unresolved</t>
        </is>
      </c>
    </row>
    <row r="11">
      <c r="A11" t="inlineStr">
        <is>
          <t>CLM-1010</t>
        </is>
      </c>
      <c r="B11" t="n">
        <v>46152</v>
      </c>
      <c r="C11" t="inlineStr">
        <is>
          <t>UnitedHealthcare</t>
        </is>
      </c>
      <c r="D11" t="n">
        <v>290</v>
      </c>
      <c r="E11" t="inlineStr">
        <is>
          <t>Rejected</t>
        </is>
      </c>
      <c r="F11" t="inlineStr">
        <is>
          <t>Coding</t>
        </is>
      </c>
      <c r="G11" t="inlineStr">
        <is>
          <t>Coding</t>
        </is>
      </c>
      <c r="H11" t="inlineStr">
        <is>
          <t>Coder</t>
        </is>
      </c>
      <c r="I11" t="inlineStr">
        <is>
          <t>Review diagnosis/procedure alignment</t>
        </is>
      </c>
      <c r="J11" t="n">
        <v>46154</v>
      </c>
      <c r="K11" t="n">
        <v>12</v>
      </c>
      <c r="L11" t="inlineStr">
        <is>
          <t>Tier 2</t>
        </is>
      </c>
      <c r="M11" t="inlineStr">
        <is>
          <t>Coding edit</t>
        </is>
      </c>
    </row>
    <row r="12">
      <c r="A12" t="inlineStr">
        <is>
          <t>CLM-1011</t>
        </is>
      </c>
      <c r="B12" t="n">
        <v>46153</v>
      </c>
      <c r="C12" t="inlineStr">
        <is>
          <t>Cigna</t>
        </is>
      </c>
      <c r="D12" t="n">
        <v>1540</v>
      </c>
      <c r="E12" t="inlineStr">
        <is>
          <t>Denied</t>
        </is>
      </c>
      <c r="F12" t="inlineStr">
        <is>
          <t>Authorization</t>
        </is>
      </c>
      <c r="G12" t="inlineStr">
        <is>
          <t>Prior Authorization</t>
        </is>
      </c>
      <c r="H12" t="inlineStr">
        <is>
          <t>Auth Specialist</t>
        </is>
      </c>
      <c r="I12" t="inlineStr">
        <is>
          <t>Escalate missing auth denial</t>
        </is>
      </c>
      <c r="J12" t="n">
        <v>46154</v>
      </c>
      <c r="K12" t="n">
        <v>44</v>
      </c>
      <c r="L12" t="inlineStr">
        <is>
          <t>Tier 1</t>
        </is>
      </c>
      <c r="M12" t="inlineStr">
        <is>
          <t>Timely follow-up needed</t>
        </is>
      </c>
    </row>
    <row r="13">
      <c r="A13" t="inlineStr">
        <is>
          <t>CLM-1012</t>
        </is>
      </c>
      <c r="B13" t="n">
        <v>46154</v>
      </c>
      <c r="C13" t="inlineStr">
        <is>
          <t>Medicare</t>
        </is>
      </c>
      <c r="D13" t="n">
        <v>875</v>
      </c>
      <c r="E13" t="inlineStr">
        <is>
          <t>Paid</t>
        </is>
      </c>
      <c r="F13" t="inlineStr">
        <is>
          <t>Clean Claim</t>
        </is>
      </c>
      <c r="G13" t="inlineStr">
        <is>
          <t>Billing</t>
        </is>
      </c>
      <c r="H13" t="inlineStr">
        <is>
          <t>Billing Analyst</t>
        </is>
      </c>
      <c r="I13" t="inlineStr">
        <is>
          <t>No action needed</t>
        </is>
      </c>
      <c r="J13" t="n">
        <v>46154</v>
      </c>
      <c r="K13" t="n">
        <v>9</v>
      </c>
      <c r="L13" t="inlineStr">
        <is>
          <t>Tier 3</t>
        </is>
      </c>
      <c r="M13" t="inlineStr">
        <is>
          <t>Paid</t>
        </is>
      </c>
    </row>
    <row r="14">
      <c r="A14" t="inlineStr">
        <is>
          <t>CLM-1013</t>
        </is>
      </c>
      <c r="B14" t="n">
        <v>46155</v>
      </c>
      <c r="C14" t="inlineStr">
        <is>
          <t>Medicaid</t>
        </is>
      </c>
      <c r="D14" t="n">
        <v>460</v>
      </c>
      <c r="E14" t="inlineStr">
        <is>
          <t>Pending</t>
        </is>
      </c>
      <c r="F14" t="inlineStr">
        <is>
          <t>Documentation</t>
        </is>
      </c>
      <c r="G14" t="inlineStr">
        <is>
          <t>Clinical Documentation</t>
        </is>
      </c>
      <c r="H14" t="inlineStr">
        <is>
          <t>Documentation Owner</t>
        </is>
      </c>
      <c r="I14" t="inlineStr">
        <is>
          <t>Obtain signed note</t>
        </is>
      </c>
      <c r="J14" t="n">
        <v>46160</v>
      </c>
      <c r="K14" t="n">
        <v>25</v>
      </c>
      <c r="L14" t="inlineStr">
        <is>
          <t>Tier 2</t>
        </is>
      </c>
      <c r="M14" t="inlineStr">
        <is>
          <t>Documentation pending</t>
        </is>
      </c>
    </row>
    <row r="15">
      <c r="A15" t="inlineStr">
        <is>
          <t>CLM-1014</t>
        </is>
      </c>
      <c r="B15" t="n">
        <v>46156</v>
      </c>
      <c r="C15" t="inlineStr">
        <is>
          <t>Humana</t>
        </is>
      </c>
      <c r="D15" t="n">
        <v>1325</v>
      </c>
      <c r="E15" t="inlineStr">
        <is>
          <t>Denied</t>
        </is>
      </c>
      <c r="F15" t="inlineStr">
        <is>
          <t>Eligibility</t>
        </is>
      </c>
      <c r="G15" t="inlineStr">
        <is>
          <t>Patient Access</t>
        </is>
      </c>
      <c r="H15" t="inlineStr">
        <is>
          <t>Registration Lead</t>
        </is>
      </c>
      <c r="I15" t="inlineStr">
        <is>
          <t>Correct payer and resubmit</t>
        </is>
      </c>
      <c r="J15" t="n">
        <v>46159</v>
      </c>
      <c r="K15" t="n">
        <v>38</v>
      </c>
      <c r="L15" t="inlineStr">
        <is>
          <t>Tier 1</t>
        </is>
      </c>
      <c r="M15" t="inlineStr">
        <is>
          <t>Wrong payer selected</t>
        </is>
      </c>
    </row>
    <row r="16">
      <c r="A16" t="inlineStr">
        <is>
          <t>CLM-1015</t>
        </is>
      </c>
      <c r="B16" t="n">
        <v>46157</v>
      </c>
      <c r="C16" t="inlineStr">
        <is>
          <t>BlueCross</t>
        </is>
      </c>
      <c r="D16" t="n">
        <v>715</v>
      </c>
      <c r="E16" t="inlineStr">
        <is>
          <t>Pending</t>
        </is>
      </c>
      <c r="F16" t="inlineStr">
        <is>
          <t>Payer Delay</t>
        </is>
      </c>
      <c r="G16" t="inlineStr">
        <is>
          <t>A/R Follow-Up</t>
        </is>
      </c>
      <c r="H16" t="inlineStr">
        <is>
          <t>A/R Analyst</t>
        </is>
      </c>
      <c r="I16" t="inlineStr">
        <is>
          <t>Follow up by phone/portal</t>
        </is>
      </c>
      <c r="J16" t="n">
        <v>46163</v>
      </c>
      <c r="K16" t="n">
        <v>17</v>
      </c>
      <c r="L16" t="inlineStr">
        <is>
          <t>Tier 2</t>
        </is>
      </c>
      <c r="M16" t="inlineStr">
        <is>
          <t>Waiting payer response</t>
        </is>
      </c>
    </row>
  </sheetData>
  <autoFilter ref="A1:M16"/>
  <dataValidations count="2">
    <dataValidation sqref="E2:E1000" showDropDown="0" showInputMessage="0" showErrorMessage="0" allowBlank="0" type="list">
      <formula1>"Denied,Pending,Paid,Rejected"</formula1>
    </dataValidation>
    <dataValidation sqref="L2:L1000" showDropDown="0" showInputMessage="0" showErrorMessage="0" allowBlank="0" type="list">
      <formula1>"Tier 1,Tier 2,Tier 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4" customWidth="1" min="2" max="2"/>
    <col width="48" customWidth="1" min="3" max="3"/>
    <col width="52" customWidth="1" min="4" max="4"/>
    <col width="52" customWidth="1" min="5" max="5"/>
    <col width="35" customWidth="1" min="6" max="6"/>
  </cols>
  <sheetData>
    <row r="1">
      <c r="A1" s="1" t="inlineStr">
        <is>
          <t>Root Cause Category</t>
        </is>
      </c>
      <c r="B1" s="1" t="inlineStr">
        <is>
          <t>Workflow Source</t>
        </is>
      </c>
      <c r="C1" s="1" t="inlineStr">
        <is>
          <t>Example Failure</t>
        </is>
      </c>
      <c r="D1" s="1" t="inlineStr">
        <is>
          <t>Downstream Risk</t>
        </is>
      </c>
      <c r="E1" s="1" t="inlineStr">
        <is>
          <t>Prevention Action</t>
        </is>
      </c>
      <c r="F1" s="1" t="inlineStr">
        <is>
          <t>Metric to Track</t>
        </is>
      </c>
    </row>
    <row r="2">
      <c r="A2" t="inlineStr">
        <is>
          <t>Eligibility</t>
        </is>
      </c>
      <c r="B2" t="inlineStr">
        <is>
          <t>Patient Access</t>
        </is>
      </c>
      <c r="C2" t="inlineStr">
        <is>
          <t>Inactive coverage or wrong plan selected</t>
        </is>
      </c>
      <c r="D2" t="inlineStr">
        <is>
          <t>Coverage denial, rejection, patient billing confusion</t>
        </is>
      </c>
      <c r="E2" t="inlineStr">
        <is>
          <t>Verify active coverage and payer plan before service</t>
        </is>
      </c>
      <c r="F2" t="inlineStr">
        <is>
          <t>Eligibility-related denial rate</t>
        </is>
      </c>
    </row>
    <row r="3">
      <c r="A3" t="inlineStr">
        <is>
          <t>Authorization</t>
        </is>
      </c>
      <c r="B3" t="inlineStr">
        <is>
          <t>Prior Authorization</t>
        </is>
      </c>
      <c r="C3" t="inlineStr">
        <is>
          <t>Requirement missed or approval details missing</t>
        </is>
      </c>
      <c r="D3" t="inlineStr">
        <is>
          <t>Missing authorization denial, delayed reimbursement</t>
        </is>
      </c>
      <c r="E3" t="inlineStr">
        <is>
          <t>Check payer rules and verify approval number/date range</t>
        </is>
      </c>
      <c r="F3" t="inlineStr">
        <is>
          <t>Authorization-related denial rate</t>
        </is>
      </c>
    </row>
    <row r="4">
      <c r="A4" t="inlineStr">
        <is>
          <t>Documentation</t>
        </is>
      </c>
      <c r="B4" t="inlineStr">
        <is>
          <t>Clinical Documentation</t>
        </is>
      </c>
      <c r="C4" t="inlineStr">
        <is>
          <t>Missing medical necessity support</t>
        </is>
      </c>
      <c r="D4" t="inlineStr">
        <is>
          <t>Medical necessity denial or rework</t>
        </is>
      </c>
      <c r="E4" t="inlineStr">
        <is>
          <t>Use documentation readiness checklist</t>
        </is>
      </c>
      <c r="F4" t="inlineStr">
        <is>
          <t>Documentation-related denial rate</t>
        </is>
      </c>
    </row>
    <row r="5">
      <c r="A5" t="inlineStr">
        <is>
          <t>Coding</t>
        </is>
      </c>
      <c r="B5" t="inlineStr">
        <is>
          <t>Coding</t>
        </is>
      </c>
      <c r="C5" t="inlineStr">
        <is>
          <t>Diagnosis/procedure mismatch</t>
        </is>
      </c>
      <c r="D5" t="inlineStr">
        <is>
          <t>Coding denial or claim edit</t>
        </is>
      </c>
      <c r="E5" t="inlineStr">
        <is>
          <t>Validate coding against documentation</t>
        </is>
      </c>
      <c r="F5" t="inlineStr">
        <is>
          <t>Coding-related denial rate</t>
        </is>
      </c>
    </row>
    <row r="6">
      <c r="A6" t="inlineStr">
        <is>
          <t>Payer/Data Error</t>
        </is>
      </c>
      <c r="B6" t="inlineStr">
        <is>
          <t>Registration/Billing</t>
        </is>
      </c>
      <c r="C6" t="inlineStr">
        <is>
          <t>Wrong member ID or payer formatting issue</t>
        </is>
      </c>
      <c r="D6" t="inlineStr">
        <is>
          <t>Claim rejection or reroute delay</t>
        </is>
      </c>
      <c r="E6" t="inlineStr">
        <is>
          <t>Validate payer/member data before claim submission</t>
        </is>
      </c>
      <c r="F6" t="inlineStr">
        <is>
          <t>Claim rejection volume</t>
        </is>
      </c>
    </row>
    <row r="7">
      <c r="A7" t="inlineStr">
        <is>
          <t>Payer Delay</t>
        </is>
      </c>
      <c r="B7" t="inlineStr">
        <is>
          <t>A/R Follow-Up</t>
        </is>
      </c>
      <c r="C7" t="inlineStr">
        <is>
          <t>No internal defect but payer response pending</t>
        </is>
      </c>
      <c r="D7" t="inlineStr">
        <is>
          <t>A/R aging and delayed cash flow</t>
        </is>
      </c>
      <c r="E7" t="inlineStr">
        <is>
          <t>Track payer-cycle pending separately</t>
        </is>
      </c>
      <c r="F7" t="inlineStr">
        <is>
          <t>Days in A/R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2" customWidth="1" min="2" max="2"/>
    <col width="52" customWidth="1" min="3" max="3"/>
    <col width="52" customWidth="1" min="4" max="4"/>
    <col width="52" customWidth="1" min="5" max="5"/>
  </cols>
  <sheetData>
    <row r="1">
      <c r="A1" s="1" t="inlineStr">
        <is>
          <t>Priority Tier</t>
        </is>
      </c>
      <c r="B1" s="1" t="inlineStr">
        <is>
          <t>Criteria</t>
        </is>
      </c>
      <c r="C1" s="1" t="inlineStr">
        <is>
          <t>Example Claim Type</t>
        </is>
      </c>
      <c r="D1" s="1" t="inlineStr">
        <is>
          <t>Required Action</t>
        </is>
      </c>
      <c r="E1" s="1" t="inlineStr">
        <is>
          <t>Escalation Trigger</t>
        </is>
      </c>
    </row>
    <row r="2">
      <c r="A2" t="inlineStr">
        <is>
          <t>Tier 1</t>
        </is>
      </c>
      <c r="B2" t="inlineStr">
        <is>
          <t>High-dollar, denied, near timely filing risk, or &gt;30 days in A/R</t>
        </is>
      </c>
      <c r="C2" t="inlineStr">
        <is>
          <t>Authorization denial, eligibility denial, high balance account</t>
        </is>
      </c>
      <c r="D2" t="inlineStr">
        <is>
          <t>Assign owner, next action, deadline, and escalation path</t>
        </is>
      </c>
      <c r="E2" t="inlineStr">
        <is>
          <t>No action within 48 hours or service/rebill deadline approaching</t>
        </is>
      </c>
    </row>
    <row r="3">
      <c r="A3" t="inlineStr">
        <is>
          <t>Tier 2</t>
        </is>
      </c>
      <c r="B3" t="inlineStr">
        <is>
          <t>Medium-dollar, pending payer response, documentation/coding rework, or 15–30 days in A/R</t>
        </is>
      </c>
      <c r="C3" t="inlineStr">
        <is>
          <t>Pending documentation, payer follow-up, coding edit</t>
        </is>
      </c>
      <c r="D3" t="inlineStr">
        <is>
          <t>Track status and follow-up date; resolve internal defect</t>
        </is>
      </c>
      <c r="E3" t="inlineStr">
        <is>
          <t>No update by due date or claim ages into Tier 1</t>
        </is>
      </c>
    </row>
    <row r="4">
      <c r="A4" t="inlineStr">
        <is>
          <t>Tier 3</t>
        </is>
      </c>
      <c r="B4" t="inlineStr">
        <is>
          <t>Paid, low-dollar, routine follow-up, or clean claim monitoring</t>
        </is>
      </c>
      <c r="C4" t="inlineStr">
        <is>
          <t>Paid clean claim or low-risk pending item</t>
        </is>
      </c>
      <c r="D4" t="inlineStr">
        <is>
          <t>Monitor and close when resolved</t>
        </is>
      </c>
      <c r="E4" t="inlineStr">
        <is>
          <t>Unexpected denial or aging trend appears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9" customWidth="1" min="2" max="2"/>
    <col width="15" customWidth="1" min="3" max="3"/>
    <col width="39" customWidth="1" min="4" max="4"/>
    <col width="21" customWidth="1" min="5" max="5"/>
    <col width="18" customWidth="1" min="6" max="6"/>
  </cols>
  <sheetData>
    <row r="1">
      <c r="A1" s="1" t="inlineStr">
        <is>
          <t>Metric</t>
        </is>
      </c>
      <c r="B1" s="1" t="inlineStr">
        <is>
          <t>Definition</t>
        </is>
      </c>
      <c r="C1" s="1" t="inlineStr">
        <is>
          <t>Formula</t>
        </is>
      </c>
      <c r="D1" s="1" t="inlineStr">
        <is>
          <t>Why It Matters</t>
        </is>
      </c>
      <c r="E1" s="1" t="inlineStr">
        <is>
          <t>Owner</t>
        </is>
      </c>
      <c r="F1" s="1" t="inlineStr">
        <is>
          <t>Target Direction</t>
        </is>
      </c>
    </row>
    <row r="2">
      <c r="A2" t="inlineStr">
        <is>
          <t>Total Claims Tracked</t>
        </is>
      </c>
      <c r="B2" t="inlineStr">
        <is>
          <t>Total simulated claims in the tracker</t>
        </is>
      </c>
      <c r="C2">
        <f>Dashboard!A5</f>
        <v/>
      </c>
      <c r="D2" t="inlineStr">
        <is>
          <t>Shows tracker volume</t>
        </is>
      </c>
      <c r="E2" t="inlineStr">
        <is>
          <t>RCM Analyst</t>
        </is>
      </c>
      <c r="F2" t="inlineStr">
        <is>
          <t>Monitor volume</t>
        </is>
      </c>
    </row>
    <row r="3">
      <c r="A3" t="inlineStr">
        <is>
          <t>Denial Rate</t>
        </is>
      </c>
      <c r="B3" t="inlineStr">
        <is>
          <t>Denied claims divided by all tracked claims</t>
        </is>
      </c>
      <c r="C3">
        <f>Dashboard!C5</f>
        <v/>
      </c>
      <c r="D3" t="inlineStr">
        <is>
          <t>Shows denial burden and workflow risk</t>
        </is>
      </c>
      <c r="E3" t="inlineStr">
        <is>
          <t>RCM Analyst</t>
        </is>
      </c>
      <c r="F3" t="inlineStr">
        <is>
          <t>Lower</t>
        </is>
      </c>
    </row>
    <row r="4">
      <c r="A4" t="inlineStr">
        <is>
          <t>Clean Claim Rate</t>
        </is>
      </c>
      <c r="B4" t="inlineStr">
        <is>
          <t>Paid clean claims divided by all tracked claims</t>
        </is>
      </c>
      <c r="C4">
        <f>Dashboard!E5</f>
        <v/>
      </c>
      <c r="D4" t="inlineStr">
        <is>
          <t>Shows first-pass readiness</t>
        </is>
      </c>
      <c r="E4" t="inlineStr">
        <is>
          <t>Billing Lead</t>
        </is>
      </c>
      <c r="F4" t="inlineStr">
        <is>
          <t>Higher</t>
        </is>
      </c>
    </row>
    <row r="5">
      <c r="A5" t="inlineStr">
        <is>
          <t>Average Days in A/R</t>
        </is>
      </c>
      <c r="B5" t="inlineStr">
        <is>
          <t>Average days in A/R across tracked claims</t>
        </is>
      </c>
      <c r="C5">
        <f>Dashboard!G5</f>
        <v/>
      </c>
      <c r="D5" t="inlineStr">
        <is>
          <t>Shows reimbursement delay</t>
        </is>
      </c>
      <c r="E5" t="inlineStr">
        <is>
          <t>A/R Lead</t>
        </is>
      </c>
      <c r="F5" t="inlineStr">
        <is>
          <t>Lower</t>
        </is>
      </c>
    </row>
    <row r="6">
      <c r="A6" t="inlineStr">
        <is>
          <t>High-Risk Accounts</t>
        </is>
      </c>
      <c r="B6" t="inlineStr">
        <is>
          <t>Tier 1 claims count</t>
        </is>
      </c>
      <c r="C6">
        <f>Dashboard!A8</f>
        <v/>
      </c>
      <c r="D6" t="inlineStr">
        <is>
          <t>Shows urgent follow-up workload</t>
        </is>
      </c>
      <c r="E6" t="inlineStr">
        <is>
          <t>RCM Analyst</t>
        </is>
      </c>
      <c r="F6" t="inlineStr">
        <is>
          <t>Lower</t>
        </is>
      </c>
    </row>
    <row r="7">
      <c r="A7" t="inlineStr">
        <is>
          <t>Authorization Denials</t>
        </is>
      </c>
      <c r="B7" t="inlineStr">
        <is>
          <t>Denied claims tagged Authorization</t>
        </is>
      </c>
      <c r="C7">
        <f>Dashboard!C8</f>
        <v/>
      </c>
      <c r="D7" t="inlineStr">
        <is>
          <t>Shows prior auth workflow risk</t>
        </is>
      </c>
      <c r="E7" t="inlineStr">
        <is>
          <t>Auth Specialist</t>
        </is>
      </c>
      <c r="F7" t="inlineStr">
        <is>
          <t>Lower</t>
        </is>
      </c>
    </row>
    <row r="8">
      <c r="A8" t="inlineStr">
        <is>
          <t>Eligibility Denials</t>
        </is>
      </c>
      <c r="B8" t="inlineStr">
        <is>
          <t>Denied claims tagged Eligibility</t>
        </is>
      </c>
      <c r="C8">
        <f>Dashboard!E8</f>
        <v/>
      </c>
      <c r="D8" t="inlineStr">
        <is>
          <t>Shows front-end verification risk</t>
        </is>
      </c>
      <c r="E8" t="inlineStr">
        <is>
          <t>Patient Access Lead</t>
        </is>
      </c>
      <c r="F8" t="inlineStr">
        <is>
          <t>Lower</t>
        </is>
      </c>
    </row>
    <row r="9">
      <c r="A9" t="inlineStr">
        <is>
          <t>Rework Volume</t>
        </is>
      </c>
      <c r="B9" t="inlineStr">
        <is>
          <t>Claims denied or rejected requiring action</t>
        </is>
      </c>
      <c r="C9">
        <f>Dashboard!G8</f>
        <v/>
      </c>
      <c r="D9" t="inlineStr">
        <is>
          <t>Shows avoidable staff workload</t>
        </is>
      </c>
      <c r="E9" t="inlineStr">
        <is>
          <t>Operations Lead</t>
        </is>
      </c>
      <c r="F9" t="inlineStr">
        <is>
          <t>Lower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2026-10-27T03:50:52Z</dcterms:created>
  <dcterms:modified xsi:type="dcterms:W3CDTF">2026-10-27T03:50:52Z</dcterms:modified>
</cp:coreProperties>
</file>