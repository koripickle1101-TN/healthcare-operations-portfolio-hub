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/>
  <xr:revisionPtr revIDLastSave="0" documentId="8_{074D633C-690A-4B4B-BD6F-4B124341A6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1 Synthetic Records" sheetId="1" r:id="rId1"/>
    <sheet name="02 KPI Dashboard" sheetId="2" r:id="rId2"/>
    <sheet name="03 Exception Log" sheetId="3" r:id="rId3"/>
    <sheet name="04 Workflow Controls" sheetId="4" r:id="rId4"/>
    <sheet name="05 Methodology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7" i="1" l="1"/>
  <c r="J487" i="1"/>
  <c r="L487" i="1"/>
  <c r="J41" i="3"/>
  <c r="I487" i="1"/>
  <c r="K487" i="1"/>
  <c r="I41" i="3"/>
  <c r="H41" i="3"/>
  <c r="G41" i="3"/>
  <c r="F41" i="3"/>
  <c r="E41" i="3"/>
  <c r="D41" i="3"/>
  <c r="C41" i="3"/>
  <c r="B41" i="3"/>
  <c r="A41" i="3"/>
  <c r="E469" i="1"/>
  <c r="J469" i="1"/>
  <c r="L469" i="1"/>
  <c r="J40" i="3"/>
  <c r="I469" i="1"/>
  <c r="K469" i="1"/>
  <c r="I40" i="3"/>
  <c r="H40" i="3"/>
  <c r="G40" i="3"/>
  <c r="F40" i="3"/>
  <c r="E40" i="3"/>
  <c r="D40" i="3"/>
  <c r="C40" i="3"/>
  <c r="B40" i="3"/>
  <c r="A40" i="3"/>
  <c r="E463" i="1"/>
  <c r="J463" i="1"/>
  <c r="L463" i="1"/>
  <c r="J39" i="3"/>
  <c r="I463" i="1"/>
  <c r="K463" i="1"/>
  <c r="I39" i="3"/>
  <c r="H39" i="3"/>
  <c r="G39" i="3"/>
  <c r="F39" i="3"/>
  <c r="E39" i="3"/>
  <c r="D39" i="3"/>
  <c r="C39" i="3"/>
  <c r="B39" i="3"/>
  <c r="A39" i="3"/>
  <c r="E460" i="1"/>
  <c r="J460" i="1"/>
  <c r="L460" i="1"/>
  <c r="J38" i="3"/>
  <c r="I460" i="1"/>
  <c r="K460" i="1"/>
  <c r="I38" i="3"/>
  <c r="H38" i="3"/>
  <c r="G38" i="3"/>
  <c r="F38" i="3"/>
  <c r="E38" i="3"/>
  <c r="D38" i="3"/>
  <c r="C38" i="3"/>
  <c r="B38" i="3"/>
  <c r="A38" i="3"/>
  <c r="E445" i="1"/>
  <c r="J445" i="1"/>
  <c r="L445" i="1"/>
  <c r="J37" i="3"/>
  <c r="I445" i="1"/>
  <c r="K445" i="1"/>
  <c r="I37" i="3"/>
  <c r="H37" i="3"/>
  <c r="G37" i="3"/>
  <c r="F37" i="3"/>
  <c r="E37" i="3"/>
  <c r="D37" i="3"/>
  <c r="C37" i="3"/>
  <c r="B37" i="3"/>
  <c r="A37" i="3"/>
  <c r="E438" i="1"/>
  <c r="J438" i="1"/>
  <c r="L438" i="1"/>
  <c r="J36" i="3"/>
  <c r="I438" i="1"/>
  <c r="K438" i="1"/>
  <c r="I36" i="3"/>
  <c r="H36" i="3"/>
  <c r="G36" i="3"/>
  <c r="F36" i="3"/>
  <c r="E36" i="3"/>
  <c r="D36" i="3"/>
  <c r="C36" i="3"/>
  <c r="B36" i="3"/>
  <c r="A36" i="3"/>
  <c r="E431" i="1"/>
  <c r="J431" i="1"/>
  <c r="L431" i="1"/>
  <c r="J35" i="3"/>
  <c r="I431" i="1"/>
  <c r="K431" i="1"/>
  <c r="I35" i="3"/>
  <c r="H35" i="3"/>
  <c r="G35" i="3"/>
  <c r="F35" i="3"/>
  <c r="E35" i="3"/>
  <c r="D35" i="3"/>
  <c r="C35" i="3"/>
  <c r="B35" i="3"/>
  <c r="A35" i="3"/>
  <c r="E403" i="1"/>
  <c r="J403" i="1"/>
  <c r="L403" i="1"/>
  <c r="J34" i="3"/>
  <c r="I403" i="1"/>
  <c r="K403" i="1"/>
  <c r="I34" i="3"/>
  <c r="H34" i="3"/>
  <c r="G34" i="3"/>
  <c r="F34" i="3"/>
  <c r="E34" i="3"/>
  <c r="D34" i="3"/>
  <c r="C34" i="3"/>
  <c r="B34" i="3"/>
  <c r="A34" i="3"/>
  <c r="E401" i="1"/>
  <c r="J401" i="1"/>
  <c r="L401" i="1"/>
  <c r="J33" i="3"/>
  <c r="I401" i="1"/>
  <c r="K401" i="1"/>
  <c r="I33" i="3"/>
  <c r="H33" i="3"/>
  <c r="G33" i="3"/>
  <c r="F33" i="3"/>
  <c r="E33" i="3"/>
  <c r="D33" i="3"/>
  <c r="C33" i="3"/>
  <c r="B33" i="3"/>
  <c r="A33" i="3"/>
  <c r="E392" i="1"/>
  <c r="J392" i="1"/>
  <c r="L392" i="1"/>
  <c r="J32" i="3"/>
  <c r="I392" i="1"/>
  <c r="K392" i="1"/>
  <c r="I32" i="3"/>
  <c r="H32" i="3"/>
  <c r="G32" i="3"/>
  <c r="F32" i="3"/>
  <c r="E32" i="3"/>
  <c r="D32" i="3"/>
  <c r="C32" i="3"/>
  <c r="B32" i="3"/>
  <c r="A32" i="3"/>
  <c r="E376" i="1"/>
  <c r="J376" i="1"/>
  <c r="L376" i="1"/>
  <c r="J31" i="3"/>
  <c r="I376" i="1"/>
  <c r="K376" i="1"/>
  <c r="I31" i="3"/>
  <c r="H31" i="3"/>
  <c r="G31" i="3"/>
  <c r="F31" i="3"/>
  <c r="E31" i="3"/>
  <c r="D31" i="3"/>
  <c r="C31" i="3"/>
  <c r="B31" i="3"/>
  <c r="A31" i="3"/>
  <c r="E372" i="1"/>
  <c r="J372" i="1"/>
  <c r="L372" i="1"/>
  <c r="J30" i="3"/>
  <c r="I372" i="1"/>
  <c r="K372" i="1"/>
  <c r="I30" i="3"/>
  <c r="H30" i="3"/>
  <c r="G30" i="3"/>
  <c r="F30" i="3"/>
  <c r="E30" i="3"/>
  <c r="D30" i="3"/>
  <c r="C30" i="3"/>
  <c r="B30" i="3"/>
  <c r="A30" i="3"/>
  <c r="E355" i="1"/>
  <c r="J355" i="1"/>
  <c r="L355" i="1"/>
  <c r="J29" i="3"/>
  <c r="I355" i="1"/>
  <c r="K355" i="1"/>
  <c r="I29" i="3"/>
  <c r="H29" i="3"/>
  <c r="G29" i="3"/>
  <c r="F29" i="3"/>
  <c r="E29" i="3"/>
  <c r="D29" i="3"/>
  <c r="C29" i="3"/>
  <c r="B29" i="3"/>
  <c r="A29" i="3"/>
  <c r="E340" i="1"/>
  <c r="J340" i="1"/>
  <c r="L340" i="1"/>
  <c r="J28" i="3"/>
  <c r="I340" i="1"/>
  <c r="K340" i="1"/>
  <c r="I28" i="3"/>
  <c r="H28" i="3"/>
  <c r="G28" i="3"/>
  <c r="F28" i="3"/>
  <c r="E28" i="3"/>
  <c r="D28" i="3"/>
  <c r="C28" i="3"/>
  <c r="B28" i="3"/>
  <c r="A28" i="3"/>
  <c r="E337" i="1"/>
  <c r="J337" i="1"/>
  <c r="L337" i="1"/>
  <c r="J27" i="3"/>
  <c r="I337" i="1"/>
  <c r="K337" i="1"/>
  <c r="I27" i="3"/>
  <c r="H27" i="3"/>
  <c r="G27" i="3"/>
  <c r="F27" i="3"/>
  <c r="E27" i="3"/>
  <c r="D27" i="3"/>
  <c r="C27" i="3"/>
  <c r="B27" i="3"/>
  <c r="A27" i="3"/>
  <c r="E319" i="1"/>
  <c r="J319" i="1"/>
  <c r="L319" i="1"/>
  <c r="J26" i="3"/>
  <c r="I319" i="1"/>
  <c r="K319" i="1"/>
  <c r="I26" i="3"/>
  <c r="H26" i="3"/>
  <c r="G26" i="3"/>
  <c r="F26" i="3"/>
  <c r="E26" i="3"/>
  <c r="D26" i="3"/>
  <c r="C26" i="3"/>
  <c r="B26" i="3"/>
  <c r="A26" i="3"/>
  <c r="E302" i="1"/>
  <c r="J302" i="1"/>
  <c r="L302" i="1"/>
  <c r="J25" i="3"/>
  <c r="I302" i="1"/>
  <c r="K302" i="1"/>
  <c r="I25" i="3"/>
  <c r="H25" i="3"/>
  <c r="G25" i="3"/>
  <c r="F25" i="3"/>
  <c r="E25" i="3"/>
  <c r="D25" i="3"/>
  <c r="C25" i="3"/>
  <c r="B25" i="3"/>
  <c r="A25" i="3"/>
  <c r="E300" i="1"/>
  <c r="J300" i="1"/>
  <c r="L300" i="1"/>
  <c r="J24" i="3"/>
  <c r="I300" i="1"/>
  <c r="K300" i="1"/>
  <c r="I24" i="3"/>
  <c r="H24" i="3"/>
  <c r="G24" i="3"/>
  <c r="F24" i="3"/>
  <c r="E24" i="3"/>
  <c r="D24" i="3"/>
  <c r="C24" i="3"/>
  <c r="B24" i="3"/>
  <c r="A24" i="3"/>
  <c r="E297" i="1"/>
  <c r="J297" i="1"/>
  <c r="L297" i="1"/>
  <c r="J23" i="3"/>
  <c r="I297" i="1"/>
  <c r="K297" i="1"/>
  <c r="I23" i="3"/>
  <c r="H23" i="3"/>
  <c r="G23" i="3"/>
  <c r="F23" i="3"/>
  <c r="E23" i="3"/>
  <c r="D23" i="3"/>
  <c r="C23" i="3"/>
  <c r="B23" i="3"/>
  <c r="A23" i="3"/>
  <c r="E285" i="1"/>
  <c r="J285" i="1"/>
  <c r="L285" i="1"/>
  <c r="J22" i="3"/>
  <c r="I285" i="1"/>
  <c r="K285" i="1"/>
  <c r="I22" i="3"/>
  <c r="H22" i="3"/>
  <c r="G22" i="3"/>
  <c r="F22" i="3"/>
  <c r="E22" i="3"/>
  <c r="D22" i="3"/>
  <c r="C22" i="3"/>
  <c r="B22" i="3"/>
  <c r="A22" i="3"/>
  <c r="E226" i="1"/>
  <c r="J226" i="1"/>
  <c r="L226" i="1"/>
  <c r="J21" i="3"/>
  <c r="I226" i="1"/>
  <c r="K226" i="1"/>
  <c r="I21" i="3"/>
  <c r="H21" i="3"/>
  <c r="G21" i="3"/>
  <c r="F21" i="3"/>
  <c r="E21" i="3"/>
  <c r="D21" i="3"/>
  <c r="C21" i="3"/>
  <c r="B21" i="3"/>
  <c r="A21" i="3"/>
  <c r="E223" i="1"/>
  <c r="J223" i="1"/>
  <c r="L223" i="1"/>
  <c r="J20" i="3"/>
  <c r="I223" i="1"/>
  <c r="K223" i="1"/>
  <c r="I20" i="3"/>
  <c r="H20" i="3"/>
  <c r="G20" i="3"/>
  <c r="F20" i="3"/>
  <c r="E20" i="3"/>
  <c r="D20" i="3"/>
  <c r="C20" i="3"/>
  <c r="B20" i="3"/>
  <c r="A20" i="3"/>
  <c r="E199" i="1"/>
  <c r="J199" i="1"/>
  <c r="L199" i="1"/>
  <c r="J19" i="3"/>
  <c r="I199" i="1"/>
  <c r="K199" i="1"/>
  <c r="I19" i="3"/>
  <c r="H19" i="3"/>
  <c r="G19" i="3"/>
  <c r="F19" i="3"/>
  <c r="E19" i="3"/>
  <c r="D19" i="3"/>
  <c r="C19" i="3"/>
  <c r="B19" i="3"/>
  <c r="A19" i="3"/>
  <c r="E198" i="1"/>
  <c r="J198" i="1"/>
  <c r="L198" i="1"/>
  <c r="J18" i="3"/>
  <c r="I198" i="1"/>
  <c r="K198" i="1"/>
  <c r="I18" i="3"/>
  <c r="H18" i="3"/>
  <c r="G18" i="3"/>
  <c r="F18" i="3"/>
  <c r="E18" i="3"/>
  <c r="D18" i="3"/>
  <c r="C18" i="3"/>
  <c r="B18" i="3"/>
  <c r="A18" i="3"/>
  <c r="E197" i="1"/>
  <c r="J197" i="1"/>
  <c r="L197" i="1"/>
  <c r="J17" i="3"/>
  <c r="I197" i="1"/>
  <c r="K197" i="1"/>
  <c r="I17" i="3"/>
  <c r="H17" i="3"/>
  <c r="G17" i="3"/>
  <c r="F17" i="3"/>
  <c r="E17" i="3"/>
  <c r="D17" i="3"/>
  <c r="C17" i="3"/>
  <c r="B17" i="3"/>
  <c r="A17" i="3"/>
  <c r="E172" i="1"/>
  <c r="J172" i="1"/>
  <c r="L172" i="1"/>
  <c r="J16" i="3"/>
  <c r="I172" i="1"/>
  <c r="K172" i="1"/>
  <c r="I16" i="3"/>
  <c r="H16" i="3"/>
  <c r="G16" i="3"/>
  <c r="F16" i="3"/>
  <c r="E16" i="3"/>
  <c r="D16" i="3"/>
  <c r="C16" i="3"/>
  <c r="B16" i="3"/>
  <c r="A16" i="3"/>
  <c r="E165" i="1"/>
  <c r="J165" i="1"/>
  <c r="L165" i="1"/>
  <c r="J15" i="3"/>
  <c r="I165" i="1"/>
  <c r="K165" i="1"/>
  <c r="I15" i="3"/>
  <c r="H15" i="3"/>
  <c r="G15" i="3"/>
  <c r="F15" i="3"/>
  <c r="E15" i="3"/>
  <c r="D15" i="3"/>
  <c r="C15" i="3"/>
  <c r="B15" i="3"/>
  <c r="A15" i="3"/>
  <c r="E147" i="1"/>
  <c r="J147" i="1"/>
  <c r="L147" i="1"/>
  <c r="J14" i="3"/>
  <c r="I147" i="1"/>
  <c r="K147" i="1"/>
  <c r="I14" i="3"/>
  <c r="H14" i="3"/>
  <c r="G14" i="3"/>
  <c r="F14" i="3"/>
  <c r="E14" i="3"/>
  <c r="D14" i="3"/>
  <c r="C14" i="3"/>
  <c r="B14" i="3"/>
  <c r="A14" i="3"/>
  <c r="E143" i="1"/>
  <c r="J143" i="1"/>
  <c r="L143" i="1"/>
  <c r="J13" i="3"/>
  <c r="I143" i="1"/>
  <c r="K143" i="1"/>
  <c r="I13" i="3"/>
  <c r="H13" i="3"/>
  <c r="G13" i="3"/>
  <c r="F13" i="3"/>
  <c r="E13" i="3"/>
  <c r="D13" i="3"/>
  <c r="C13" i="3"/>
  <c r="B13" i="3"/>
  <c r="A13" i="3"/>
  <c r="E133" i="1"/>
  <c r="J133" i="1"/>
  <c r="L133" i="1"/>
  <c r="J12" i="3"/>
  <c r="I133" i="1"/>
  <c r="K133" i="1"/>
  <c r="I12" i="3"/>
  <c r="H12" i="3"/>
  <c r="G12" i="3"/>
  <c r="F12" i="3"/>
  <c r="E12" i="3"/>
  <c r="D12" i="3"/>
  <c r="C12" i="3"/>
  <c r="B12" i="3"/>
  <c r="A12" i="3"/>
  <c r="E129" i="1"/>
  <c r="J129" i="1"/>
  <c r="L129" i="1"/>
  <c r="J11" i="3"/>
  <c r="I129" i="1"/>
  <c r="K129" i="1"/>
  <c r="I11" i="3"/>
  <c r="H11" i="3"/>
  <c r="G11" i="3"/>
  <c r="F11" i="3"/>
  <c r="E11" i="3"/>
  <c r="D11" i="3"/>
  <c r="C11" i="3"/>
  <c r="B11" i="3"/>
  <c r="A11" i="3"/>
  <c r="E120" i="1"/>
  <c r="J120" i="1"/>
  <c r="L120" i="1"/>
  <c r="J10" i="3"/>
  <c r="I120" i="1"/>
  <c r="K120" i="1"/>
  <c r="I10" i="3"/>
  <c r="H10" i="3"/>
  <c r="G10" i="3"/>
  <c r="F10" i="3"/>
  <c r="E10" i="3"/>
  <c r="D10" i="3"/>
  <c r="C10" i="3"/>
  <c r="B10" i="3"/>
  <c r="A10" i="3"/>
  <c r="E87" i="1"/>
  <c r="J87" i="1"/>
  <c r="L87" i="1"/>
  <c r="J9" i="3"/>
  <c r="I87" i="1"/>
  <c r="K87" i="1"/>
  <c r="I9" i="3"/>
  <c r="H9" i="3"/>
  <c r="G9" i="3"/>
  <c r="F9" i="3"/>
  <c r="E9" i="3"/>
  <c r="D9" i="3"/>
  <c r="C9" i="3"/>
  <c r="B9" i="3"/>
  <c r="A9" i="3"/>
  <c r="E81" i="1"/>
  <c r="J81" i="1"/>
  <c r="L81" i="1"/>
  <c r="J8" i="3"/>
  <c r="I81" i="1"/>
  <c r="K81" i="1"/>
  <c r="I8" i="3"/>
  <c r="H8" i="3"/>
  <c r="G8" i="3"/>
  <c r="F8" i="3"/>
  <c r="E8" i="3"/>
  <c r="D8" i="3"/>
  <c r="C8" i="3"/>
  <c r="B8" i="3"/>
  <c r="A8" i="3"/>
  <c r="E78" i="1"/>
  <c r="J78" i="1"/>
  <c r="L78" i="1"/>
  <c r="J7" i="3"/>
  <c r="I78" i="1"/>
  <c r="K78" i="1"/>
  <c r="I7" i="3"/>
  <c r="H7" i="3"/>
  <c r="G7" i="3"/>
  <c r="F7" i="3"/>
  <c r="E7" i="3"/>
  <c r="D7" i="3"/>
  <c r="C7" i="3"/>
  <c r="B7" i="3"/>
  <c r="A7" i="3"/>
  <c r="E63" i="1"/>
  <c r="J63" i="1"/>
  <c r="L63" i="1"/>
  <c r="J6" i="3"/>
  <c r="I63" i="1"/>
  <c r="K63" i="1"/>
  <c r="I6" i="3"/>
  <c r="H6" i="3"/>
  <c r="G6" i="3"/>
  <c r="F6" i="3"/>
  <c r="E6" i="3"/>
  <c r="D6" i="3"/>
  <c r="C6" i="3"/>
  <c r="B6" i="3"/>
  <c r="A6" i="3"/>
  <c r="E32" i="1"/>
  <c r="J32" i="1"/>
  <c r="L32" i="1"/>
  <c r="J5" i="3"/>
  <c r="I32" i="1"/>
  <c r="K32" i="1"/>
  <c r="I5" i="3"/>
  <c r="H5" i="3"/>
  <c r="G5" i="3"/>
  <c r="F5" i="3"/>
  <c r="E5" i="3"/>
  <c r="D5" i="3"/>
  <c r="C5" i="3"/>
  <c r="B5" i="3"/>
  <c r="A5" i="3"/>
  <c r="E18" i="1"/>
  <c r="J18" i="1"/>
  <c r="L18" i="1"/>
  <c r="J4" i="3"/>
  <c r="I18" i="1"/>
  <c r="K18" i="1"/>
  <c r="I4" i="3"/>
  <c r="H4" i="3"/>
  <c r="G4" i="3"/>
  <c r="F4" i="3"/>
  <c r="E4" i="3"/>
  <c r="D4" i="3"/>
  <c r="C4" i="3"/>
  <c r="B4" i="3"/>
  <c r="A4" i="3"/>
  <c r="E11" i="1"/>
  <c r="J11" i="1"/>
  <c r="L11" i="1"/>
  <c r="J3" i="3"/>
  <c r="I11" i="1"/>
  <c r="K11" i="1"/>
  <c r="I3" i="3"/>
  <c r="H3" i="3"/>
  <c r="G3" i="3"/>
  <c r="F3" i="3"/>
  <c r="E3" i="3"/>
  <c r="D3" i="3"/>
  <c r="C3" i="3"/>
  <c r="B3" i="3"/>
  <c r="A3" i="3"/>
  <c r="E6" i="1"/>
  <c r="J6" i="1"/>
  <c r="L6" i="1"/>
  <c r="J2" i="3"/>
  <c r="I6" i="1"/>
  <c r="K6" i="1"/>
  <c r="I2" i="3"/>
  <c r="H2" i="3"/>
  <c r="G2" i="3"/>
  <c r="F2" i="3"/>
  <c r="E2" i="3"/>
  <c r="D2" i="3"/>
  <c r="C2" i="3"/>
  <c r="B2" i="3"/>
  <c r="A2" i="3"/>
  <c r="E2" i="1"/>
  <c r="I2" i="1"/>
  <c r="K2" i="1"/>
  <c r="E3" i="1"/>
  <c r="I3" i="1"/>
  <c r="K3" i="1"/>
  <c r="E4" i="1"/>
  <c r="I4" i="1"/>
  <c r="K4" i="1"/>
  <c r="E5" i="1"/>
  <c r="I5" i="1"/>
  <c r="K5" i="1"/>
  <c r="E501" i="1"/>
  <c r="I501" i="1"/>
  <c r="K501" i="1"/>
  <c r="E500" i="1"/>
  <c r="I500" i="1"/>
  <c r="K500" i="1"/>
  <c r="E499" i="1"/>
  <c r="I499" i="1"/>
  <c r="K499" i="1"/>
  <c r="E498" i="1"/>
  <c r="I498" i="1"/>
  <c r="K498" i="1"/>
  <c r="E497" i="1"/>
  <c r="I497" i="1"/>
  <c r="K497" i="1"/>
  <c r="E496" i="1"/>
  <c r="I496" i="1"/>
  <c r="K496" i="1"/>
  <c r="E495" i="1"/>
  <c r="I495" i="1"/>
  <c r="K495" i="1"/>
  <c r="E494" i="1"/>
  <c r="I494" i="1"/>
  <c r="K494" i="1"/>
  <c r="E493" i="1"/>
  <c r="I493" i="1"/>
  <c r="K493" i="1"/>
  <c r="E492" i="1"/>
  <c r="I492" i="1"/>
  <c r="K492" i="1"/>
  <c r="E491" i="1"/>
  <c r="I491" i="1"/>
  <c r="K491" i="1"/>
  <c r="E490" i="1"/>
  <c r="I490" i="1"/>
  <c r="K490" i="1"/>
  <c r="E489" i="1"/>
  <c r="I489" i="1"/>
  <c r="K489" i="1"/>
  <c r="E488" i="1"/>
  <c r="I488" i="1"/>
  <c r="K488" i="1"/>
  <c r="E486" i="1"/>
  <c r="I486" i="1"/>
  <c r="K486" i="1"/>
  <c r="E485" i="1"/>
  <c r="I485" i="1"/>
  <c r="K485" i="1"/>
  <c r="E484" i="1"/>
  <c r="I484" i="1"/>
  <c r="K484" i="1"/>
  <c r="E483" i="1"/>
  <c r="I483" i="1"/>
  <c r="K483" i="1"/>
  <c r="E482" i="1"/>
  <c r="I482" i="1"/>
  <c r="K482" i="1"/>
  <c r="E481" i="1"/>
  <c r="I481" i="1"/>
  <c r="K481" i="1"/>
  <c r="E480" i="1"/>
  <c r="I480" i="1"/>
  <c r="K480" i="1"/>
  <c r="E479" i="1"/>
  <c r="I479" i="1"/>
  <c r="K479" i="1"/>
  <c r="E478" i="1"/>
  <c r="I478" i="1"/>
  <c r="K478" i="1"/>
  <c r="E477" i="1"/>
  <c r="I477" i="1"/>
  <c r="K477" i="1"/>
  <c r="E476" i="1"/>
  <c r="I476" i="1"/>
  <c r="K476" i="1"/>
  <c r="E475" i="1"/>
  <c r="I475" i="1"/>
  <c r="K475" i="1"/>
  <c r="E474" i="1"/>
  <c r="I474" i="1"/>
  <c r="K474" i="1"/>
  <c r="E473" i="1"/>
  <c r="I473" i="1"/>
  <c r="K473" i="1"/>
  <c r="E472" i="1"/>
  <c r="I472" i="1"/>
  <c r="K472" i="1"/>
  <c r="E471" i="1"/>
  <c r="I471" i="1"/>
  <c r="K471" i="1"/>
  <c r="E470" i="1"/>
  <c r="I470" i="1"/>
  <c r="K470" i="1"/>
  <c r="E468" i="1"/>
  <c r="I468" i="1"/>
  <c r="K468" i="1"/>
  <c r="E467" i="1"/>
  <c r="I467" i="1"/>
  <c r="K467" i="1"/>
  <c r="E466" i="1"/>
  <c r="I466" i="1"/>
  <c r="K466" i="1"/>
  <c r="E465" i="1"/>
  <c r="I465" i="1"/>
  <c r="K465" i="1"/>
  <c r="E464" i="1"/>
  <c r="I464" i="1"/>
  <c r="K464" i="1"/>
  <c r="E462" i="1"/>
  <c r="I462" i="1"/>
  <c r="K462" i="1"/>
  <c r="E461" i="1"/>
  <c r="I461" i="1"/>
  <c r="K461" i="1"/>
  <c r="E459" i="1"/>
  <c r="I459" i="1"/>
  <c r="K459" i="1"/>
  <c r="E458" i="1"/>
  <c r="I458" i="1"/>
  <c r="K458" i="1"/>
  <c r="E457" i="1"/>
  <c r="I457" i="1"/>
  <c r="K457" i="1"/>
  <c r="E456" i="1"/>
  <c r="I456" i="1"/>
  <c r="K456" i="1"/>
  <c r="E455" i="1"/>
  <c r="I455" i="1"/>
  <c r="K455" i="1"/>
  <c r="E454" i="1"/>
  <c r="I454" i="1"/>
  <c r="K454" i="1"/>
  <c r="E453" i="1"/>
  <c r="I453" i="1"/>
  <c r="K453" i="1"/>
  <c r="E452" i="1"/>
  <c r="I452" i="1"/>
  <c r="K452" i="1"/>
  <c r="E451" i="1"/>
  <c r="I451" i="1"/>
  <c r="K451" i="1"/>
  <c r="E450" i="1"/>
  <c r="I450" i="1"/>
  <c r="K450" i="1"/>
  <c r="E449" i="1"/>
  <c r="I449" i="1"/>
  <c r="K449" i="1"/>
  <c r="E448" i="1"/>
  <c r="I448" i="1"/>
  <c r="K448" i="1"/>
  <c r="E447" i="1"/>
  <c r="I447" i="1"/>
  <c r="K447" i="1"/>
  <c r="E446" i="1"/>
  <c r="I446" i="1"/>
  <c r="K446" i="1"/>
  <c r="E444" i="1"/>
  <c r="I444" i="1"/>
  <c r="K444" i="1"/>
  <c r="E443" i="1"/>
  <c r="I443" i="1"/>
  <c r="K443" i="1"/>
  <c r="E442" i="1"/>
  <c r="I442" i="1"/>
  <c r="K442" i="1"/>
  <c r="E441" i="1"/>
  <c r="I441" i="1"/>
  <c r="K441" i="1"/>
  <c r="E440" i="1"/>
  <c r="I440" i="1"/>
  <c r="K440" i="1"/>
  <c r="E439" i="1"/>
  <c r="I439" i="1"/>
  <c r="K439" i="1"/>
  <c r="E437" i="1"/>
  <c r="I437" i="1"/>
  <c r="K437" i="1"/>
  <c r="E436" i="1"/>
  <c r="I436" i="1"/>
  <c r="K436" i="1"/>
  <c r="E435" i="1"/>
  <c r="I435" i="1"/>
  <c r="K435" i="1"/>
  <c r="E434" i="1"/>
  <c r="I434" i="1"/>
  <c r="K434" i="1"/>
  <c r="E433" i="1"/>
  <c r="I433" i="1"/>
  <c r="K433" i="1"/>
  <c r="E432" i="1"/>
  <c r="I432" i="1"/>
  <c r="K432" i="1"/>
  <c r="E430" i="1"/>
  <c r="I430" i="1"/>
  <c r="K430" i="1"/>
  <c r="E429" i="1"/>
  <c r="I429" i="1"/>
  <c r="K429" i="1"/>
  <c r="E428" i="1"/>
  <c r="I428" i="1"/>
  <c r="K428" i="1"/>
  <c r="E427" i="1"/>
  <c r="I427" i="1"/>
  <c r="K427" i="1"/>
  <c r="E426" i="1"/>
  <c r="I426" i="1"/>
  <c r="K426" i="1"/>
  <c r="E425" i="1"/>
  <c r="I425" i="1"/>
  <c r="K425" i="1"/>
  <c r="E424" i="1"/>
  <c r="I424" i="1"/>
  <c r="K424" i="1"/>
  <c r="E423" i="1"/>
  <c r="I423" i="1"/>
  <c r="K423" i="1"/>
  <c r="E422" i="1"/>
  <c r="I422" i="1"/>
  <c r="K422" i="1"/>
  <c r="E421" i="1"/>
  <c r="I421" i="1"/>
  <c r="K421" i="1"/>
  <c r="E420" i="1"/>
  <c r="I420" i="1"/>
  <c r="K420" i="1"/>
  <c r="E419" i="1"/>
  <c r="I419" i="1"/>
  <c r="K419" i="1"/>
  <c r="E418" i="1"/>
  <c r="I418" i="1"/>
  <c r="K418" i="1"/>
  <c r="E417" i="1"/>
  <c r="I417" i="1"/>
  <c r="K417" i="1"/>
  <c r="E416" i="1"/>
  <c r="I416" i="1"/>
  <c r="K416" i="1"/>
  <c r="E415" i="1"/>
  <c r="I415" i="1"/>
  <c r="K415" i="1"/>
  <c r="E414" i="1"/>
  <c r="I414" i="1"/>
  <c r="K414" i="1"/>
  <c r="E413" i="1"/>
  <c r="I413" i="1"/>
  <c r="K413" i="1"/>
  <c r="E412" i="1"/>
  <c r="I412" i="1"/>
  <c r="K412" i="1"/>
  <c r="E411" i="1"/>
  <c r="I411" i="1"/>
  <c r="K411" i="1"/>
  <c r="E410" i="1"/>
  <c r="I410" i="1"/>
  <c r="K410" i="1"/>
  <c r="E409" i="1"/>
  <c r="I409" i="1"/>
  <c r="K409" i="1"/>
  <c r="E408" i="1"/>
  <c r="I408" i="1"/>
  <c r="K408" i="1"/>
  <c r="E407" i="1"/>
  <c r="I407" i="1"/>
  <c r="K407" i="1"/>
  <c r="E406" i="1"/>
  <c r="I406" i="1"/>
  <c r="K406" i="1"/>
  <c r="E405" i="1"/>
  <c r="I405" i="1"/>
  <c r="K405" i="1"/>
  <c r="E404" i="1"/>
  <c r="I404" i="1"/>
  <c r="K404" i="1"/>
  <c r="E402" i="1"/>
  <c r="I402" i="1"/>
  <c r="K402" i="1"/>
  <c r="E400" i="1"/>
  <c r="I400" i="1"/>
  <c r="K400" i="1"/>
  <c r="E399" i="1"/>
  <c r="I399" i="1"/>
  <c r="K399" i="1"/>
  <c r="E398" i="1"/>
  <c r="I398" i="1"/>
  <c r="K398" i="1"/>
  <c r="E397" i="1"/>
  <c r="I397" i="1"/>
  <c r="K397" i="1"/>
  <c r="E396" i="1"/>
  <c r="I396" i="1"/>
  <c r="K396" i="1"/>
  <c r="E395" i="1"/>
  <c r="I395" i="1"/>
  <c r="K395" i="1"/>
  <c r="E394" i="1"/>
  <c r="I394" i="1"/>
  <c r="K394" i="1"/>
  <c r="E393" i="1"/>
  <c r="I393" i="1"/>
  <c r="K393" i="1"/>
  <c r="E391" i="1"/>
  <c r="I391" i="1"/>
  <c r="K391" i="1"/>
  <c r="E390" i="1"/>
  <c r="I390" i="1"/>
  <c r="K390" i="1"/>
  <c r="E389" i="1"/>
  <c r="I389" i="1"/>
  <c r="K389" i="1"/>
  <c r="E388" i="1"/>
  <c r="I388" i="1"/>
  <c r="K388" i="1"/>
  <c r="E387" i="1"/>
  <c r="I387" i="1"/>
  <c r="K387" i="1"/>
  <c r="E386" i="1"/>
  <c r="I386" i="1"/>
  <c r="K386" i="1"/>
  <c r="E385" i="1"/>
  <c r="I385" i="1"/>
  <c r="K385" i="1"/>
  <c r="E384" i="1"/>
  <c r="I384" i="1"/>
  <c r="K384" i="1"/>
  <c r="E383" i="1"/>
  <c r="I383" i="1"/>
  <c r="K383" i="1"/>
  <c r="E382" i="1"/>
  <c r="I382" i="1"/>
  <c r="K382" i="1"/>
  <c r="E381" i="1"/>
  <c r="I381" i="1"/>
  <c r="K381" i="1"/>
  <c r="E380" i="1"/>
  <c r="I380" i="1"/>
  <c r="K380" i="1"/>
  <c r="E379" i="1"/>
  <c r="I379" i="1"/>
  <c r="K379" i="1"/>
  <c r="E378" i="1"/>
  <c r="I378" i="1"/>
  <c r="K378" i="1"/>
  <c r="E377" i="1"/>
  <c r="I377" i="1"/>
  <c r="K377" i="1"/>
  <c r="E375" i="1"/>
  <c r="I375" i="1"/>
  <c r="K375" i="1"/>
  <c r="E374" i="1"/>
  <c r="I374" i="1"/>
  <c r="K374" i="1"/>
  <c r="E373" i="1"/>
  <c r="I373" i="1"/>
  <c r="K373" i="1"/>
  <c r="E371" i="1"/>
  <c r="I371" i="1"/>
  <c r="K371" i="1"/>
  <c r="E370" i="1"/>
  <c r="I370" i="1"/>
  <c r="K370" i="1"/>
  <c r="E369" i="1"/>
  <c r="I369" i="1"/>
  <c r="K369" i="1"/>
  <c r="E368" i="1"/>
  <c r="I368" i="1"/>
  <c r="K368" i="1"/>
  <c r="E367" i="1"/>
  <c r="I367" i="1"/>
  <c r="K367" i="1"/>
  <c r="E366" i="1"/>
  <c r="I366" i="1"/>
  <c r="K366" i="1"/>
  <c r="E365" i="1"/>
  <c r="I365" i="1"/>
  <c r="K365" i="1"/>
  <c r="E364" i="1"/>
  <c r="I364" i="1"/>
  <c r="K364" i="1"/>
  <c r="E363" i="1"/>
  <c r="I363" i="1"/>
  <c r="K363" i="1"/>
  <c r="E362" i="1"/>
  <c r="I362" i="1"/>
  <c r="K362" i="1"/>
  <c r="E361" i="1"/>
  <c r="I361" i="1"/>
  <c r="K361" i="1"/>
  <c r="E360" i="1"/>
  <c r="I360" i="1"/>
  <c r="K360" i="1"/>
  <c r="E359" i="1"/>
  <c r="I359" i="1"/>
  <c r="K359" i="1"/>
  <c r="E358" i="1"/>
  <c r="I358" i="1"/>
  <c r="K358" i="1"/>
  <c r="E357" i="1"/>
  <c r="I357" i="1"/>
  <c r="K357" i="1"/>
  <c r="E356" i="1"/>
  <c r="I356" i="1"/>
  <c r="K356" i="1"/>
  <c r="E354" i="1"/>
  <c r="I354" i="1"/>
  <c r="K354" i="1"/>
  <c r="E353" i="1"/>
  <c r="I353" i="1"/>
  <c r="K353" i="1"/>
  <c r="E352" i="1"/>
  <c r="I352" i="1"/>
  <c r="K352" i="1"/>
  <c r="E351" i="1"/>
  <c r="I351" i="1"/>
  <c r="K351" i="1"/>
  <c r="E350" i="1"/>
  <c r="I350" i="1"/>
  <c r="K350" i="1"/>
  <c r="E349" i="1"/>
  <c r="I349" i="1"/>
  <c r="K349" i="1"/>
  <c r="E348" i="1"/>
  <c r="I348" i="1"/>
  <c r="K348" i="1"/>
  <c r="E347" i="1"/>
  <c r="I347" i="1"/>
  <c r="K347" i="1"/>
  <c r="E346" i="1"/>
  <c r="I346" i="1"/>
  <c r="K346" i="1"/>
  <c r="E345" i="1"/>
  <c r="I345" i="1"/>
  <c r="K345" i="1"/>
  <c r="E344" i="1"/>
  <c r="I344" i="1"/>
  <c r="K344" i="1"/>
  <c r="E343" i="1"/>
  <c r="I343" i="1"/>
  <c r="K343" i="1"/>
  <c r="E342" i="1"/>
  <c r="I342" i="1"/>
  <c r="K342" i="1"/>
  <c r="E341" i="1"/>
  <c r="I341" i="1"/>
  <c r="K341" i="1"/>
  <c r="E339" i="1"/>
  <c r="I339" i="1"/>
  <c r="K339" i="1"/>
  <c r="E338" i="1"/>
  <c r="I338" i="1"/>
  <c r="K338" i="1"/>
  <c r="E336" i="1"/>
  <c r="I336" i="1"/>
  <c r="K336" i="1"/>
  <c r="E335" i="1"/>
  <c r="I335" i="1"/>
  <c r="K335" i="1"/>
  <c r="E334" i="1"/>
  <c r="I334" i="1"/>
  <c r="K334" i="1"/>
  <c r="E333" i="1"/>
  <c r="I333" i="1"/>
  <c r="K333" i="1"/>
  <c r="E332" i="1"/>
  <c r="I332" i="1"/>
  <c r="K332" i="1"/>
  <c r="E331" i="1"/>
  <c r="I331" i="1"/>
  <c r="K331" i="1"/>
  <c r="E330" i="1"/>
  <c r="I330" i="1"/>
  <c r="K330" i="1"/>
  <c r="E329" i="1"/>
  <c r="I329" i="1"/>
  <c r="K329" i="1"/>
  <c r="E328" i="1"/>
  <c r="I328" i="1"/>
  <c r="K328" i="1"/>
  <c r="E327" i="1"/>
  <c r="I327" i="1"/>
  <c r="K327" i="1"/>
  <c r="E326" i="1"/>
  <c r="I326" i="1"/>
  <c r="K326" i="1"/>
  <c r="E325" i="1"/>
  <c r="I325" i="1"/>
  <c r="K325" i="1"/>
  <c r="E324" i="1"/>
  <c r="I324" i="1"/>
  <c r="K324" i="1"/>
  <c r="E323" i="1"/>
  <c r="I323" i="1"/>
  <c r="K323" i="1"/>
  <c r="E322" i="1"/>
  <c r="I322" i="1"/>
  <c r="K322" i="1"/>
  <c r="E321" i="1"/>
  <c r="I321" i="1"/>
  <c r="K321" i="1"/>
  <c r="E320" i="1"/>
  <c r="I320" i="1"/>
  <c r="K320" i="1"/>
  <c r="E318" i="1"/>
  <c r="I318" i="1"/>
  <c r="K318" i="1"/>
  <c r="E317" i="1"/>
  <c r="I317" i="1"/>
  <c r="K317" i="1"/>
  <c r="E316" i="1"/>
  <c r="I316" i="1"/>
  <c r="K316" i="1"/>
  <c r="E315" i="1"/>
  <c r="I315" i="1"/>
  <c r="K315" i="1"/>
  <c r="E314" i="1"/>
  <c r="I314" i="1"/>
  <c r="K314" i="1"/>
  <c r="E313" i="1"/>
  <c r="I313" i="1"/>
  <c r="K313" i="1"/>
  <c r="E312" i="1"/>
  <c r="I312" i="1"/>
  <c r="K312" i="1"/>
  <c r="E311" i="1"/>
  <c r="I311" i="1"/>
  <c r="K311" i="1"/>
  <c r="E310" i="1"/>
  <c r="I310" i="1"/>
  <c r="K310" i="1"/>
  <c r="E309" i="1"/>
  <c r="I309" i="1"/>
  <c r="K309" i="1"/>
  <c r="E308" i="1"/>
  <c r="I308" i="1"/>
  <c r="K308" i="1"/>
  <c r="E307" i="1"/>
  <c r="I307" i="1"/>
  <c r="K307" i="1"/>
  <c r="E306" i="1"/>
  <c r="I306" i="1"/>
  <c r="K306" i="1"/>
  <c r="E305" i="1"/>
  <c r="I305" i="1"/>
  <c r="K305" i="1"/>
  <c r="E304" i="1"/>
  <c r="I304" i="1"/>
  <c r="K304" i="1"/>
  <c r="E303" i="1"/>
  <c r="I303" i="1"/>
  <c r="K303" i="1"/>
  <c r="E301" i="1"/>
  <c r="I301" i="1"/>
  <c r="K301" i="1"/>
  <c r="E299" i="1"/>
  <c r="I299" i="1"/>
  <c r="K299" i="1"/>
  <c r="E298" i="1"/>
  <c r="I298" i="1"/>
  <c r="K298" i="1"/>
  <c r="E296" i="1"/>
  <c r="I296" i="1"/>
  <c r="K296" i="1"/>
  <c r="E295" i="1"/>
  <c r="I295" i="1"/>
  <c r="K295" i="1"/>
  <c r="E294" i="1"/>
  <c r="I294" i="1"/>
  <c r="K294" i="1"/>
  <c r="E293" i="1"/>
  <c r="I293" i="1"/>
  <c r="K293" i="1"/>
  <c r="E292" i="1"/>
  <c r="I292" i="1"/>
  <c r="K292" i="1"/>
  <c r="E291" i="1"/>
  <c r="I291" i="1"/>
  <c r="K291" i="1"/>
  <c r="E290" i="1"/>
  <c r="I290" i="1"/>
  <c r="K290" i="1"/>
  <c r="E289" i="1"/>
  <c r="I289" i="1"/>
  <c r="K289" i="1"/>
  <c r="E288" i="1"/>
  <c r="I288" i="1"/>
  <c r="K288" i="1"/>
  <c r="E287" i="1"/>
  <c r="I287" i="1"/>
  <c r="K287" i="1"/>
  <c r="E286" i="1"/>
  <c r="I286" i="1"/>
  <c r="K286" i="1"/>
  <c r="E284" i="1"/>
  <c r="I284" i="1"/>
  <c r="K284" i="1"/>
  <c r="E283" i="1"/>
  <c r="I283" i="1"/>
  <c r="K283" i="1"/>
  <c r="E282" i="1"/>
  <c r="I282" i="1"/>
  <c r="K282" i="1"/>
  <c r="E281" i="1"/>
  <c r="I281" i="1"/>
  <c r="K281" i="1"/>
  <c r="E280" i="1"/>
  <c r="I280" i="1"/>
  <c r="K280" i="1"/>
  <c r="E279" i="1"/>
  <c r="I279" i="1"/>
  <c r="K279" i="1"/>
  <c r="E278" i="1"/>
  <c r="I278" i="1"/>
  <c r="K278" i="1"/>
  <c r="E277" i="1"/>
  <c r="I277" i="1"/>
  <c r="K277" i="1"/>
  <c r="E276" i="1"/>
  <c r="I276" i="1"/>
  <c r="K276" i="1"/>
  <c r="E275" i="1"/>
  <c r="I275" i="1"/>
  <c r="K275" i="1"/>
  <c r="E274" i="1"/>
  <c r="I274" i="1"/>
  <c r="K274" i="1"/>
  <c r="E273" i="1"/>
  <c r="I273" i="1"/>
  <c r="K273" i="1"/>
  <c r="E272" i="1"/>
  <c r="I272" i="1"/>
  <c r="K272" i="1"/>
  <c r="E271" i="1"/>
  <c r="I271" i="1"/>
  <c r="K271" i="1"/>
  <c r="E270" i="1"/>
  <c r="I270" i="1"/>
  <c r="K270" i="1"/>
  <c r="E269" i="1"/>
  <c r="I269" i="1"/>
  <c r="K269" i="1"/>
  <c r="E268" i="1"/>
  <c r="I268" i="1"/>
  <c r="K268" i="1"/>
  <c r="E267" i="1"/>
  <c r="I267" i="1"/>
  <c r="K267" i="1"/>
  <c r="E266" i="1"/>
  <c r="I266" i="1"/>
  <c r="K266" i="1"/>
  <c r="E265" i="1"/>
  <c r="I265" i="1"/>
  <c r="K265" i="1"/>
  <c r="E264" i="1"/>
  <c r="I264" i="1"/>
  <c r="K264" i="1"/>
  <c r="E263" i="1"/>
  <c r="I263" i="1"/>
  <c r="K263" i="1"/>
  <c r="E262" i="1"/>
  <c r="I262" i="1"/>
  <c r="K262" i="1"/>
  <c r="E261" i="1"/>
  <c r="I261" i="1"/>
  <c r="K261" i="1"/>
  <c r="E260" i="1"/>
  <c r="I260" i="1"/>
  <c r="K260" i="1"/>
  <c r="E259" i="1"/>
  <c r="I259" i="1"/>
  <c r="K259" i="1"/>
  <c r="E258" i="1"/>
  <c r="I258" i="1"/>
  <c r="K258" i="1"/>
  <c r="E257" i="1"/>
  <c r="I257" i="1"/>
  <c r="K257" i="1"/>
  <c r="E256" i="1"/>
  <c r="I256" i="1"/>
  <c r="K256" i="1"/>
  <c r="E255" i="1"/>
  <c r="I255" i="1"/>
  <c r="K255" i="1"/>
  <c r="E254" i="1"/>
  <c r="I254" i="1"/>
  <c r="K254" i="1"/>
  <c r="E253" i="1"/>
  <c r="I253" i="1"/>
  <c r="K253" i="1"/>
  <c r="E252" i="1"/>
  <c r="I252" i="1"/>
  <c r="K252" i="1"/>
  <c r="E251" i="1"/>
  <c r="I251" i="1"/>
  <c r="K251" i="1"/>
  <c r="E250" i="1"/>
  <c r="I250" i="1"/>
  <c r="K250" i="1"/>
  <c r="E249" i="1"/>
  <c r="I249" i="1"/>
  <c r="K249" i="1"/>
  <c r="E248" i="1"/>
  <c r="I248" i="1"/>
  <c r="K248" i="1"/>
  <c r="E247" i="1"/>
  <c r="I247" i="1"/>
  <c r="K247" i="1"/>
  <c r="E246" i="1"/>
  <c r="I246" i="1"/>
  <c r="K246" i="1"/>
  <c r="E245" i="1"/>
  <c r="I245" i="1"/>
  <c r="K245" i="1"/>
  <c r="E244" i="1"/>
  <c r="I244" i="1"/>
  <c r="K244" i="1"/>
  <c r="E243" i="1"/>
  <c r="I243" i="1"/>
  <c r="K243" i="1"/>
  <c r="E242" i="1"/>
  <c r="I242" i="1"/>
  <c r="K242" i="1"/>
  <c r="E241" i="1"/>
  <c r="I241" i="1"/>
  <c r="K241" i="1"/>
  <c r="E240" i="1"/>
  <c r="I240" i="1"/>
  <c r="K240" i="1"/>
  <c r="E239" i="1"/>
  <c r="I239" i="1"/>
  <c r="K239" i="1"/>
  <c r="E238" i="1"/>
  <c r="I238" i="1"/>
  <c r="K238" i="1"/>
  <c r="E237" i="1"/>
  <c r="I237" i="1"/>
  <c r="K237" i="1"/>
  <c r="E236" i="1"/>
  <c r="I236" i="1"/>
  <c r="K236" i="1"/>
  <c r="E235" i="1"/>
  <c r="I235" i="1"/>
  <c r="K235" i="1"/>
  <c r="E234" i="1"/>
  <c r="I234" i="1"/>
  <c r="K234" i="1"/>
  <c r="E233" i="1"/>
  <c r="I233" i="1"/>
  <c r="K233" i="1"/>
  <c r="E232" i="1"/>
  <c r="I232" i="1"/>
  <c r="K232" i="1"/>
  <c r="E231" i="1"/>
  <c r="I231" i="1"/>
  <c r="K231" i="1"/>
  <c r="E230" i="1"/>
  <c r="I230" i="1"/>
  <c r="K230" i="1"/>
  <c r="E229" i="1"/>
  <c r="I229" i="1"/>
  <c r="K229" i="1"/>
  <c r="E228" i="1"/>
  <c r="I228" i="1"/>
  <c r="K228" i="1"/>
  <c r="E227" i="1"/>
  <c r="I227" i="1"/>
  <c r="K227" i="1"/>
  <c r="E225" i="1"/>
  <c r="I225" i="1"/>
  <c r="K225" i="1"/>
  <c r="E224" i="1"/>
  <c r="I224" i="1"/>
  <c r="K224" i="1"/>
  <c r="E222" i="1"/>
  <c r="I222" i="1"/>
  <c r="K222" i="1"/>
  <c r="E221" i="1"/>
  <c r="I221" i="1"/>
  <c r="K221" i="1"/>
  <c r="E220" i="1"/>
  <c r="I220" i="1"/>
  <c r="K220" i="1"/>
  <c r="E219" i="1"/>
  <c r="I219" i="1"/>
  <c r="K219" i="1"/>
  <c r="E218" i="1"/>
  <c r="I218" i="1"/>
  <c r="K218" i="1"/>
  <c r="E217" i="1"/>
  <c r="I217" i="1"/>
  <c r="K217" i="1"/>
  <c r="E216" i="1"/>
  <c r="I216" i="1"/>
  <c r="K216" i="1"/>
  <c r="E215" i="1"/>
  <c r="I215" i="1"/>
  <c r="K215" i="1"/>
  <c r="E214" i="1"/>
  <c r="I214" i="1"/>
  <c r="K214" i="1"/>
  <c r="E213" i="1"/>
  <c r="I213" i="1"/>
  <c r="K213" i="1"/>
  <c r="E212" i="1"/>
  <c r="I212" i="1"/>
  <c r="K212" i="1"/>
  <c r="E211" i="1"/>
  <c r="I211" i="1"/>
  <c r="K211" i="1"/>
  <c r="E210" i="1"/>
  <c r="I210" i="1"/>
  <c r="K210" i="1"/>
  <c r="E209" i="1"/>
  <c r="I209" i="1"/>
  <c r="K209" i="1"/>
  <c r="E208" i="1"/>
  <c r="I208" i="1"/>
  <c r="K208" i="1"/>
  <c r="E207" i="1"/>
  <c r="I207" i="1"/>
  <c r="K207" i="1"/>
  <c r="E206" i="1"/>
  <c r="I206" i="1"/>
  <c r="K206" i="1"/>
  <c r="E205" i="1"/>
  <c r="I205" i="1"/>
  <c r="K205" i="1"/>
  <c r="E204" i="1"/>
  <c r="I204" i="1"/>
  <c r="K204" i="1"/>
  <c r="E203" i="1"/>
  <c r="I203" i="1"/>
  <c r="K203" i="1"/>
  <c r="E202" i="1"/>
  <c r="I202" i="1"/>
  <c r="K202" i="1"/>
  <c r="E201" i="1"/>
  <c r="I201" i="1"/>
  <c r="K201" i="1"/>
  <c r="E200" i="1"/>
  <c r="I200" i="1"/>
  <c r="K200" i="1"/>
  <c r="E196" i="1"/>
  <c r="I196" i="1"/>
  <c r="K196" i="1"/>
  <c r="E195" i="1"/>
  <c r="I195" i="1"/>
  <c r="K195" i="1"/>
  <c r="E194" i="1"/>
  <c r="I194" i="1"/>
  <c r="K194" i="1"/>
  <c r="E193" i="1"/>
  <c r="I193" i="1"/>
  <c r="K193" i="1"/>
  <c r="E192" i="1"/>
  <c r="I192" i="1"/>
  <c r="K192" i="1"/>
  <c r="E191" i="1"/>
  <c r="I191" i="1"/>
  <c r="K191" i="1"/>
  <c r="E190" i="1"/>
  <c r="I190" i="1"/>
  <c r="K190" i="1"/>
  <c r="E189" i="1"/>
  <c r="I189" i="1"/>
  <c r="K189" i="1"/>
  <c r="E188" i="1"/>
  <c r="I188" i="1"/>
  <c r="K188" i="1"/>
  <c r="E187" i="1"/>
  <c r="I187" i="1"/>
  <c r="K187" i="1"/>
  <c r="E186" i="1"/>
  <c r="I186" i="1"/>
  <c r="K186" i="1"/>
  <c r="E185" i="1"/>
  <c r="I185" i="1"/>
  <c r="K185" i="1"/>
  <c r="E184" i="1"/>
  <c r="I184" i="1"/>
  <c r="K184" i="1"/>
  <c r="E183" i="1"/>
  <c r="I183" i="1"/>
  <c r="K183" i="1"/>
  <c r="E182" i="1"/>
  <c r="I182" i="1"/>
  <c r="K182" i="1"/>
  <c r="E181" i="1"/>
  <c r="I181" i="1"/>
  <c r="K181" i="1"/>
  <c r="E180" i="1"/>
  <c r="I180" i="1"/>
  <c r="K180" i="1"/>
  <c r="E179" i="1"/>
  <c r="I179" i="1"/>
  <c r="K179" i="1"/>
  <c r="E178" i="1"/>
  <c r="I178" i="1"/>
  <c r="K178" i="1"/>
  <c r="E177" i="1"/>
  <c r="I177" i="1"/>
  <c r="K177" i="1"/>
  <c r="E176" i="1"/>
  <c r="I176" i="1"/>
  <c r="K176" i="1"/>
  <c r="E175" i="1"/>
  <c r="I175" i="1"/>
  <c r="K175" i="1"/>
  <c r="E174" i="1"/>
  <c r="I174" i="1"/>
  <c r="K174" i="1"/>
  <c r="E173" i="1"/>
  <c r="I173" i="1"/>
  <c r="K173" i="1"/>
  <c r="E171" i="1"/>
  <c r="I171" i="1"/>
  <c r="K171" i="1"/>
  <c r="E170" i="1"/>
  <c r="I170" i="1"/>
  <c r="K170" i="1"/>
  <c r="E169" i="1"/>
  <c r="I169" i="1"/>
  <c r="K169" i="1"/>
  <c r="E168" i="1"/>
  <c r="I168" i="1"/>
  <c r="K168" i="1"/>
  <c r="E167" i="1"/>
  <c r="I167" i="1"/>
  <c r="K167" i="1"/>
  <c r="E166" i="1"/>
  <c r="I166" i="1"/>
  <c r="K166" i="1"/>
  <c r="E164" i="1"/>
  <c r="I164" i="1"/>
  <c r="K164" i="1"/>
  <c r="E163" i="1"/>
  <c r="I163" i="1"/>
  <c r="K163" i="1"/>
  <c r="E162" i="1"/>
  <c r="I162" i="1"/>
  <c r="K162" i="1"/>
  <c r="E161" i="1"/>
  <c r="I161" i="1"/>
  <c r="K161" i="1"/>
  <c r="E160" i="1"/>
  <c r="I160" i="1"/>
  <c r="K160" i="1"/>
  <c r="E159" i="1"/>
  <c r="I159" i="1"/>
  <c r="K159" i="1"/>
  <c r="E158" i="1"/>
  <c r="I158" i="1"/>
  <c r="K158" i="1"/>
  <c r="E157" i="1"/>
  <c r="I157" i="1"/>
  <c r="K157" i="1"/>
  <c r="E156" i="1"/>
  <c r="I156" i="1"/>
  <c r="K156" i="1"/>
  <c r="E155" i="1"/>
  <c r="I155" i="1"/>
  <c r="K155" i="1"/>
  <c r="E154" i="1"/>
  <c r="I154" i="1"/>
  <c r="K154" i="1"/>
  <c r="E153" i="1"/>
  <c r="I153" i="1"/>
  <c r="K153" i="1"/>
  <c r="E152" i="1"/>
  <c r="I152" i="1"/>
  <c r="K152" i="1"/>
  <c r="E151" i="1"/>
  <c r="I151" i="1"/>
  <c r="K151" i="1"/>
  <c r="E150" i="1"/>
  <c r="I150" i="1"/>
  <c r="K150" i="1"/>
  <c r="E149" i="1"/>
  <c r="I149" i="1"/>
  <c r="K149" i="1"/>
  <c r="E148" i="1"/>
  <c r="I148" i="1"/>
  <c r="K148" i="1"/>
  <c r="E146" i="1"/>
  <c r="I146" i="1"/>
  <c r="K146" i="1"/>
  <c r="E145" i="1"/>
  <c r="I145" i="1"/>
  <c r="K145" i="1"/>
  <c r="E144" i="1"/>
  <c r="I144" i="1"/>
  <c r="K144" i="1"/>
  <c r="E142" i="1"/>
  <c r="I142" i="1"/>
  <c r="K142" i="1"/>
  <c r="E141" i="1"/>
  <c r="I141" i="1"/>
  <c r="K141" i="1"/>
  <c r="E140" i="1"/>
  <c r="I140" i="1"/>
  <c r="K140" i="1"/>
  <c r="E139" i="1"/>
  <c r="I139" i="1"/>
  <c r="K139" i="1"/>
  <c r="E138" i="1"/>
  <c r="I138" i="1"/>
  <c r="K138" i="1"/>
  <c r="E137" i="1"/>
  <c r="I137" i="1"/>
  <c r="K137" i="1"/>
  <c r="E136" i="1"/>
  <c r="I136" i="1"/>
  <c r="K136" i="1"/>
  <c r="E135" i="1"/>
  <c r="I135" i="1"/>
  <c r="K135" i="1"/>
  <c r="E134" i="1"/>
  <c r="I134" i="1"/>
  <c r="K134" i="1"/>
  <c r="E132" i="1"/>
  <c r="I132" i="1"/>
  <c r="K132" i="1"/>
  <c r="E131" i="1"/>
  <c r="I131" i="1"/>
  <c r="K131" i="1"/>
  <c r="E130" i="1"/>
  <c r="I130" i="1"/>
  <c r="K130" i="1"/>
  <c r="E128" i="1"/>
  <c r="I128" i="1"/>
  <c r="K128" i="1"/>
  <c r="E127" i="1"/>
  <c r="I127" i="1"/>
  <c r="K127" i="1"/>
  <c r="E126" i="1"/>
  <c r="I126" i="1"/>
  <c r="K126" i="1"/>
  <c r="E125" i="1"/>
  <c r="I125" i="1"/>
  <c r="K125" i="1"/>
  <c r="E124" i="1"/>
  <c r="I124" i="1"/>
  <c r="K124" i="1"/>
  <c r="E123" i="1"/>
  <c r="I123" i="1"/>
  <c r="K123" i="1"/>
  <c r="E122" i="1"/>
  <c r="I122" i="1"/>
  <c r="K122" i="1"/>
  <c r="E121" i="1"/>
  <c r="I121" i="1"/>
  <c r="K121" i="1"/>
  <c r="E119" i="1"/>
  <c r="I119" i="1"/>
  <c r="K119" i="1"/>
  <c r="E118" i="1"/>
  <c r="I118" i="1"/>
  <c r="K118" i="1"/>
  <c r="E117" i="1"/>
  <c r="I117" i="1"/>
  <c r="K117" i="1"/>
  <c r="E116" i="1"/>
  <c r="I116" i="1"/>
  <c r="K116" i="1"/>
  <c r="E115" i="1"/>
  <c r="I115" i="1"/>
  <c r="K115" i="1"/>
  <c r="E114" i="1"/>
  <c r="I114" i="1"/>
  <c r="K114" i="1"/>
  <c r="E113" i="1"/>
  <c r="I113" i="1"/>
  <c r="K113" i="1"/>
  <c r="E112" i="1"/>
  <c r="I112" i="1"/>
  <c r="K112" i="1"/>
  <c r="E111" i="1"/>
  <c r="I111" i="1"/>
  <c r="K111" i="1"/>
  <c r="E110" i="1"/>
  <c r="I110" i="1"/>
  <c r="K110" i="1"/>
  <c r="E109" i="1"/>
  <c r="I109" i="1"/>
  <c r="K109" i="1"/>
  <c r="E108" i="1"/>
  <c r="I108" i="1"/>
  <c r="K108" i="1"/>
  <c r="E107" i="1"/>
  <c r="I107" i="1"/>
  <c r="K107" i="1"/>
  <c r="E106" i="1"/>
  <c r="I106" i="1"/>
  <c r="K106" i="1"/>
  <c r="E105" i="1"/>
  <c r="I105" i="1"/>
  <c r="K105" i="1"/>
  <c r="E104" i="1"/>
  <c r="I104" i="1"/>
  <c r="K104" i="1"/>
  <c r="E103" i="1"/>
  <c r="I103" i="1"/>
  <c r="K103" i="1"/>
  <c r="E102" i="1"/>
  <c r="I102" i="1"/>
  <c r="K102" i="1"/>
  <c r="E101" i="1"/>
  <c r="I101" i="1"/>
  <c r="K101" i="1"/>
  <c r="E100" i="1"/>
  <c r="I100" i="1"/>
  <c r="K100" i="1"/>
  <c r="E99" i="1"/>
  <c r="I99" i="1"/>
  <c r="K99" i="1"/>
  <c r="E98" i="1"/>
  <c r="I98" i="1"/>
  <c r="K98" i="1"/>
  <c r="E97" i="1"/>
  <c r="I97" i="1"/>
  <c r="K97" i="1"/>
  <c r="E96" i="1"/>
  <c r="I96" i="1"/>
  <c r="K96" i="1"/>
  <c r="E95" i="1"/>
  <c r="I95" i="1"/>
  <c r="K95" i="1"/>
  <c r="E94" i="1"/>
  <c r="I94" i="1"/>
  <c r="K94" i="1"/>
  <c r="E93" i="1"/>
  <c r="I93" i="1"/>
  <c r="K93" i="1"/>
  <c r="E92" i="1"/>
  <c r="I92" i="1"/>
  <c r="K92" i="1"/>
  <c r="E91" i="1"/>
  <c r="I91" i="1"/>
  <c r="K91" i="1"/>
  <c r="E90" i="1"/>
  <c r="I90" i="1"/>
  <c r="K90" i="1"/>
  <c r="E89" i="1"/>
  <c r="I89" i="1"/>
  <c r="K89" i="1"/>
  <c r="E88" i="1"/>
  <c r="I88" i="1"/>
  <c r="K88" i="1"/>
  <c r="E86" i="1"/>
  <c r="I86" i="1"/>
  <c r="K86" i="1"/>
  <c r="E85" i="1"/>
  <c r="I85" i="1"/>
  <c r="K85" i="1"/>
  <c r="E84" i="1"/>
  <c r="I84" i="1"/>
  <c r="K84" i="1"/>
  <c r="E83" i="1"/>
  <c r="I83" i="1"/>
  <c r="K83" i="1"/>
  <c r="E82" i="1"/>
  <c r="I82" i="1"/>
  <c r="K82" i="1"/>
  <c r="E80" i="1"/>
  <c r="I80" i="1"/>
  <c r="K80" i="1"/>
  <c r="E79" i="1"/>
  <c r="I79" i="1"/>
  <c r="K79" i="1"/>
  <c r="E77" i="1"/>
  <c r="I77" i="1"/>
  <c r="K77" i="1"/>
  <c r="E76" i="1"/>
  <c r="I76" i="1"/>
  <c r="K76" i="1"/>
  <c r="E75" i="1"/>
  <c r="I75" i="1"/>
  <c r="K75" i="1"/>
  <c r="E74" i="1"/>
  <c r="I74" i="1"/>
  <c r="K74" i="1"/>
  <c r="E73" i="1"/>
  <c r="I73" i="1"/>
  <c r="K73" i="1"/>
  <c r="E72" i="1"/>
  <c r="I72" i="1"/>
  <c r="K72" i="1"/>
  <c r="E71" i="1"/>
  <c r="I71" i="1"/>
  <c r="K71" i="1"/>
  <c r="E70" i="1"/>
  <c r="I70" i="1"/>
  <c r="K70" i="1"/>
  <c r="E69" i="1"/>
  <c r="I69" i="1"/>
  <c r="K69" i="1"/>
  <c r="E68" i="1"/>
  <c r="I68" i="1"/>
  <c r="K68" i="1"/>
  <c r="E67" i="1"/>
  <c r="I67" i="1"/>
  <c r="K67" i="1"/>
  <c r="E66" i="1"/>
  <c r="I66" i="1"/>
  <c r="K66" i="1"/>
  <c r="E65" i="1"/>
  <c r="I65" i="1"/>
  <c r="K65" i="1"/>
  <c r="E64" i="1"/>
  <c r="I64" i="1"/>
  <c r="K64" i="1"/>
  <c r="E62" i="1"/>
  <c r="I62" i="1"/>
  <c r="K62" i="1"/>
  <c r="E61" i="1"/>
  <c r="I61" i="1"/>
  <c r="K61" i="1"/>
  <c r="E60" i="1"/>
  <c r="I60" i="1"/>
  <c r="K60" i="1"/>
  <c r="E59" i="1"/>
  <c r="I59" i="1"/>
  <c r="K59" i="1"/>
  <c r="E58" i="1"/>
  <c r="I58" i="1"/>
  <c r="K58" i="1"/>
  <c r="E57" i="1"/>
  <c r="I57" i="1"/>
  <c r="K57" i="1"/>
  <c r="E56" i="1"/>
  <c r="I56" i="1"/>
  <c r="K56" i="1"/>
  <c r="E55" i="1"/>
  <c r="I55" i="1"/>
  <c r="K55" i="1"/>
  <c r="E54" i="1"/>
  <c r="I54" i="1"/>
  <c r="K54" i="1"/>
  <c r="E53" i="1"/>
  <c r="I53" i="1"/>
  <c r="K53" i="1"/>
  <c r="E52" i="1"/>
  <c r="I52" i="1"/>
  <c r="K52" i="1"/>
  <c r="E51" i="1"/>
  <c r="I51" i="1"/>
  <c r="K51" i="1"/>
  <c r="E50" i="1"/>
  <c r="I50" i="1"/>
  <c r="K50" i="1"/>
  <c r="E49" i="1"/>
  <c r="I49" i="1"/>
  <c r="K49" i="1"/>
  <c r="E48" i="1"/>
  <c r="I48" i="1"/>
  <c r="K48" i="1"/>
  <c r="E47" i="1"/>
  <c r="I47" i="1"/>
  <c r="K47" i="1"/>
  <c r="E46" i="1"/>
  <c r="I46" i="1"/>
  <c r="K46" i="1"/>
  <c r="E45" i="1"/>
  <c r="I45" i="1"/>
  <c r="K45" i="1"/>
  <c r="E44" i="1"/>
  <c r="I44" i="1"/>
  <c r="K44" i="1"/>
  <c r="E43" i="1"/>
  <c r="I43" i="1"/>
  <c r="K43" i="1"/>
  <c r="E42" i="1"/>
  <c r="I42" i="1"/>
  <c r="K42" i="1"/>
  <c r="E41" i="1"/>
  <c r="I41" i="1"/>
  <c r="K41" i="1"/>
  <c r="E40" i="1"/>
  <c r="I40" i="1"/>
  <c r="K40" i="1"/>
  <c r="E39" i="1"/>
  <c r="I39" i="1"/>
  <c r="K39" i="1"/>
  <c r="E38" i="1"/>
  <c r="I38" i="1"/>
  <c r="K38" i="1"/>
  <c r="E37" i="1"/>
  <c r="I37" i="1"/>
  <c r="K37" i="1"/>
  <c r="E36" i="1"/>
  <c r="I36" i="1"/>
  <c r="K36" i="1"/>
  <c r="E35" i="1"/>
  <c r="I35" i="1"/>
  <c r="K35" i="1"/>
  <c r="E34" i="1"/>
  <c r="I34" i="1"/>
  <c r="K34" i="1"/>
  <c r="E33" i="1"/>
  <c r="I33" i="1"/>
  <c r="K33" i="1"/>
  <c r="E31" i="1"/>
  <c r="I31" i="1"/>
  <c r="K31" i="1"/>
  <c r="E30" i="1"/>
  <c r="I30" i="1"/>
  <c r="K30" i="1"/>
  <c r="E29" i="1"/>
  <c r="I29" i="1"/>
  <c r="K29" i="1"/>
  <c r="E28" i="1"/>
  <c r="I28" i="1"/>
  <c r="K28" i="1"/>
  <c r="E27" i="1"/>
  <c r="I27" i="1"/>
  <c r="K27" i="1"/>
  <c r="E26" i="1"/>
  <c r="I26" i="1"/>
  <c r="K26" i="1"/>
  <c r="E25" i="1"/>
  <c r="I25" i="1"/>
  <c r="K25" i="1"/>
  <c r="E24" i="1"/>
  <c r="I24" i="1"/>
  <c r="K24" i="1"/>
  <c r="E23" i="1"/>
  <c r="I23" i="1"/>
  <c r="K23" i="1"/>
  <c r="E22" i="1"/>
  <c r="I22" i="1"/>
  <c r="K22" i="1"/>
  <c r="E21" i="1"/>
  <c r="I21" i="1"/>
  <c r="K21" i="1"/>
  <c r="E20" i="1"/>
  <c r="I20" i="1"/>
  <c r="K20" i="1"/>
  <c r="E19" i="1"/>
  <c r="I19" i="1"/>
  <c r="K19" i="1"/>
  <c r="E17" i="1"/>
  <c r="I17" i="1"/>
  <c r="K17" i="1"/>
  <c r="E16" i="1"/>
  <c r="I16" i="1"/>
  <c r="K16" i="1"/>
  <c r="E15" i="1"/>
  <c r="I15" i="1"/>
  <c r="K15" i="1"/>
  <c r="E14" i="1"/>
  <c r="I14" i="1"/>
  <c r="K14" i="1"/>
  <c r="E13" i="1"/>
  <c r="I13" i="1"/>
  <c r="K13" i="1"/>
  <c r="E12" i="1"/>
  <c r="I12" i="1"/>
  <c r="K12" i="1"/>
  <c r="E10" i="1"/>
  <c r="I10" i="1"/>
  <c r="K10" i="1"/>
  <c r="E9" i="1"/>
  <c r="I9" i="1"/>
  <c r="K9" i="1"/>
  <c r="E8" i="1"/>
  <c r="I8" i="1"/>
  <c r="K8" i="1"/>
  <c r="E7" i="1"/>
  <c r="I7" i="1"/>
  <c r="K7" i="1"/>
  <c r="B10" i="2"/>
  <c r="J2" i="1"/>
  <c r="L2" i="1"/>
  <c r="J3" i="1"/>
  <c r="L3" i="1"/>
  <c r="J4" i="1"/>
  <c r="L4" i="1"/>
  <c r="J5" i="1"/>
  <c r="L5" i="1"/>
  <c r="J501" i="1"/>
  <c r="L501" i="1"/>
  <c r="J500" i="1"/>
  <c r="L500" i="1"/>
  <c r="J499" i="1"/>
  <c r="L499" i="1"/>
  <c r="J498" i="1"/>
  <c r="L498" i="1"/>
  <c r="J497" i="1"/>
  <c r="L497" i="1"/>
  <c r="J496" i="1"/>
  <c r="L496" i="1"/>
  <c r="J495" i="1"/>
  <c r="L495" i="1"/>
  <c r="J494" i="1"/>
  <c r="L494" i="1"/>
  <c r="J493" i="1"/>
  <c r="L493" i="1"/>
  <c r="J492" i="1"/>
  <c r="L492" i="1"/>
  <c r="J491" i="1"/>
  <c r="L491" i="1"/>
  <c r="J490" i="1"/>
  <c r="L490" i="1"/>
  <c r="J489" i="1"/>
  <c r="L489" i="1"/>
  <c r="J488" i="1"/>
  <c r="L488" i="1"/>
  <c r="J486" i="1"/>
  <c r="L486" i="1"/>
  <c r="J485" i="1"/>
  <c r="L485" i="1"/>
  <c r="J484" i="1"/>
  <c r="L484" i="1"/>
  <c r="J483" i="1"/>
  <c r="L483" i="1"/>
  <c r="J482" i="1"/>
  <c r="L482" i="1"/>
  <c r="J481" i="1"/>
  <c r="L481" i="1"/>
  <c r="J480" i="1"/>
  <c r="L480" i="1"/>
  <c r="J479" i="1"/>
  <c r="L479" i="1"/>
  <c r="J478" i="1"/>
  <c r="L478" i="1"/>
  <c r="J477" i="1"/>
  <c r="L477" i="1"/>
  <c r="J476" i="1"/>
  <c r="L476" i="1"/>
  <c r="J475" i="1"/>
  <c r="L475" i="1"/>
  <c r="J474" i="1"/>
  <c r="L474" i="1"/>
  <c r="J473" i="1"/>
  <c r="L473" i="1"/>
  <c r="J472" i="1"/>
  <c r="L472" i="1"/>
  <c r="J471" i="1"/>
  <c r="L471" i="1"/>
  <c r="J470" i="1"/>
  <c r="L470" i="1"/>
  <c r="J468" i="1"/>
  <c r="L468" i="1"/>
  <c r="J467" i="1"/>
  <c r="L467" i="1"/>
  <c r="J466" i="1"/>
  <c r="L466" i="1"/>
  <c r="J465" i="1"/>
  <c r="L465" i="1"/>
  <c r="J464" i="1"/>
  <c r="L464" i="1"/>
  <c r="J462" i="1"/>
  <c r="L462" i="1"/>
  <c r="J461" i="1"/>
  <c r="L461" i="1"/>
  <c r="J459" i="1"/>
  <c r="L459" i="1"/>
  <c r="J458" i="1"/>
  <c r="L458" i="1"/>
  <c r="J457" i="1"/>
  <c r="L457" i="1"/>
  <c r="J456" i="1"/>
  <c r="L456" i="1"/>
  <c r="J455" i="1"/>
  <c r="L455" i="1"/>
  <c r="J454" i="1"/>
  <c r="L454" i="1"/>
  <c r="J453" i="1"/>
  <c r="L453" i="1"/>
  <c r="J452" i="1"/>
  <c r="L452" i="1"/>
  <c r="J451" i="1"/>
  <c r="L451" i="1"/>
  <c r="J450" i="1"/>
  <c r="L450" i="1"/>
  <c r="J449" i="1"/>
  <c r="L449" i="1"/>
  <c r="J448" i="1"/>
  <c r="L448" i="1"/>
  <c r="J447" i="1"/>
  <c r="L447" i="1"/>
  <c r="J446" i="1"/>
  <c r="L446" i="1"/>
  <c r="J444" i="1"/>
  <c r="L444" i="1"/>
  <c r="J443" i="1"/>
  <c r="L443" i="1"/>
  <c r="J442" i="1"/>
  <c r="L442" i="1"/>
  <c r="J441" i="1"/>
  <c r="L441" i="1"/>
  <c r="J440" i="1"/>
  <c r="L440" i="1"/>
  <c r="J439" i="1"/>
  <c r="L439" i="1"/>
  <c r="J437" i="1"/>
  <c r="L437" i="1"/>
  <c r="J436" i="1"/>
  <c r="L436" i="1"/>
  <c r="J435" i="1"/>
  <c r="L435" i="1"/>
  <c r="J434" i="1"/>
  <c r="L434" i="1"/>
  <c r="J433" i="1"/>
  <c r="L433" i="1"/>
  <c r="J432" i="1"/>
  <c r="L432" i="1"/>
  <c r="J430" i="1"/>
  <c r="L430" i="1"/>
  <c r="J429" i="1"/>
  <c r="L429" i="1"/>
  <c r="J428" i="1"/>
  <c r="L428" i="1"/>
  <c r="J427" i="1"/>
  <c r="L427" i="1"/>
  <c r="J426" i="1"/>
  <c r="L426" i="1"/>
  <c r="J425" i="1"/>
  <c r="L425" i="1"/>
  <c r="J424" i="1"/>
  <c r="L424" i="1"/>
  <c r="J423" i="1"/>
  <c r="L423" i="1"/>
  <c r="J422" i="1"/>
  <c r="L422" i="1"/>
  <c r="J421" i="1"/>
  <c r="L421" i="1"/>
  <c r="J420" i="1"/>
  <c r="L420" i="1"/>
  <c r="J419" i="1"/>
  <c r="L419" i="1"/>
  <c r="J418" i="1"/>
  <c r="L418" i="1"/>
  <c r="J417" i="1"/>
  <c r="L417" i="1"/>
  <c r="J416" i="1"/>
  <c r="L416" i="1"/>
  <c r="J415" i="1"/>
  <c r="L415" i="1"/>
  <c r="J414" i="1"/>
  <c r="L414" i="1"/>
  <c r="J413" i="1"/>
  <c r="L413" i="1"/>
  <c r="J412" i="1"/>
  <c r="L412" i="1"/>
  <c r="J411" i="1"/>
  <c r="L411" i="1"/>
  <c r="J410" i="1"/>
  <c r="L410" i="1"/>
  <c r="J409" i="1"/>
  <c r="L409" i="1"/>
  <c r="J408" i="1"/>
  <c r="L408" i="1"/>
  <c r="J407" i="1"/>
  <c r="L407" i="1"/>
  <c r="J406" i="1"/>
  <c r="L406" i="1"/>
  <c r="J405" i="1"/>
  <c r="L405" i="1"/>
  <c r="J404" i="1"/>
  <c r="L404" i="1"/>
  <c r="J402" i="1"/>
  <c r="L402" i="1"/>
  <c r="J400" i="1"/>
  <c r="L400" i="1"/>
  <c r="J399" i="1"/>
  <c r="L399" i="1"/>
  <c r="J398" i="1"/>
  <c r="L398" i="1"/>
  <c r="J397" i="1"/>
  <c r="L397" i="1"/>
  <c r="J396" i="1"/>
  <c r="L396" i="1"/>
  <c r="J395" i="1"/>
  <c r="L395" i="1"/>
  <c r="J394" i="1"/>
  <c r="L394" i="1"/>
  <c r="J393" i="1"/>
  <c r="L393" i="1"/>
  <c r="J391" i="1"/>
  <c r="L391" i="1"/>
  <c r="J390" i="1"/>
  <c r="L390" i="1"/>
  <c r="J389" i="1"/>
  <c r="L389" i="1"/>
  <c r="J388" i="1"/>
  <c r="L388" i="1"/>
  <c r="J387" i="1"/>
  <c r="L387" i="1"/>
  <c r="J386" i="1"/>
  <c r="L386" i="1"/>
  <c r="J385" i="1"/>
  <c r="L385" i="1"/>
  <c r="J384" i="1"/>
  <c r="L384" i="1"/>
  <c r="J383" i="1"/>
  <c r="L383" i="1"/>
  <c r="J382" i="1"/>
  <c r="L382" i="1"/>
  <c r="J381" i="1"/>
  <c r="L381" i="1"/>
  <c r="J380" i="1"/>
  <c r="L380" i="1"/>
  <c r="J379" i="1"/>
  <c r="L379" i="1"/>
  <c r="J378" i="1"/>
  <c r="L378" i="1"/>
  <c r="J377" i="1"/>
  <c r="L377" i="1"/>
  <c r="J375" i="1"/>
  <c r="L375" i="1"/>
  <c r="J374" i="1"/>
  <c r="L374" i="1"/>
  <c r="J373" i="1"/>
  <c r="L373" i="1"/>
  <c r="J371" i="1"/>
  <c r="L371" i="1"/>
  <c r="J370" i="1"/>
  <c r="L370" i="1"/>
  <c r="J369" i="1"/>
  <c r="L369" i="1"/>
  <c r="J368" i="1"/>
  <c r="L368" i="1"/>
  <c r="J367" i="1"/>
  <c r="L367" i="1"/>
  <c r="J366" i="1"/>
  <c r="L366" i="1"/>
  <c r="J365" i="1"/>
  <c r="L365" i="1"/>
  <c r="J364" i="1"/>
  <c r="L364" i="1"/>
  <c r="J363" i="1"/>
  <c r="L363" i="1"/>
  <c r="J362" i="1"/>
  <c r="L362" i="1"/>
  <c r="J361" i="1"/>
  <c r="L361" i="1"/>
  <c r="J360" i="1"/>
  <c r="L360" i="1"/>
  <c r="J359" i="1"/>
  <c r="L359" i="1"/>
  <c r="J358" i="1"/>
  <c r="L358" i="1"/>
  <c r="J357" i="1"/>
  <c r="L357" i="1"/>
  <c r="J356" i="1"/>
  <c r="L356" i="1"/>
  <c r="J354" i="1"/>
  <c r="L354" i="1"/>
  <c r="J353" i="1"/>
  <c r="L353" i="1"/>
  <c r="J352" i="1"/>
  <c r="L352" i="1"/>
  <c r="J351" i="1"/>
  <c r="L351" i="1"/>
  <c r="J350" i="1"/>
  <c r="L350" i="1"/>
  <c r="J349" i="1"/>
  <c r="L349" i="1"/>
  <c r="J348" i="1"/>
  <c r="L348" i="1"/>
  <c r="J347" i="1"/>
  <c r="L347" i="1"/>
  <c r="J346" i="1"/>
  <c r="L346" i="1"/>
  <c r="J345" i="1"/>
  <c r="L345" i="1"/>
  <c r="J344" i="1"/>
  <c r="L344" i="1"/>
  <c r="J343" i="1"/>
  <c r="L343" i="1"/>
  <c r="J342" i="1"/>
  <c r="L342" i="1"/>
  <c r="J341" i="1"/>
  <c r="L341" i="1"/>
  <c r="J339" i="1"/>
  <c r="L339" i="1"/>
  <c r="J338" i="1"/>
  <c r="L338" i="1"/>
  <c r="J336" i="1"/>
  <c r="L336" i="1"/>
  <c r="J335" i="1"/>
  <c r="L335" i="1"/>
  <c r="J334" i="1"/>
  <c r="L334" i="1"/>
  <c r="J333" i="1"/>
  <c r="L333" i="1"/>
  <c r="J332" i="1"/>
  <c r="L332" i="1"/>
  <c r="J331" i="1"/>
  <c r="L331" i="1"/>
  <c r="J330" i="1"/>
  <c r="L330" i="1"/>
  <c r="J329" i="1"/>
  <c r="L329" i="1"/>
  <c r="J328" i="1"/>
  <c r="L328" i="1"/>
  <c r="J327" i="1"/>
  <c r="L327" i="1"/>
  <c r="J326" i="1"/>
  <c r="L326" i="1"/>
  <c r="J325" i="1"/>
  <c r="L325" i="1"/>
  <c r="J324" i="1"/>
  <c r="L324" i="1"/>
  <c r="J323" i="1"/>
  <c r="L323" i="1"/>
  <c r="J322" i="1"/>
  <c r="L322" i="1"/>
  <c r="J321" i="1"/>
  <c r="L321" i="1"/>
  <c r="J320" i="1"/>
  <c r="L320" i="1"/>
  <c r="J318" i="1"/>
  <c r="L318" i="1"/>
  <c r="J317" i="1"/>
  <c r="L317" i="1"/>
  <c r="J316" i="1"/>
  <c r="L316" i="1"/>
  <c r="J315" i="1"/>
  <c r="L315" i="1"/>
  <c r="J314" i="1"/>
  <c r="L314" i="1"/>
  <c r="J313" i="1"/>
  <c r="L313" i="1"/>
  <c r="J312" i="1"/>
  <c r="L312" i="1"/>
  <c r="J311" i="1"/>
  <c r="L311" i="1"/>
  <c r="J310" i="1"/>
  <c r="L310" i="1"/>
  <c r="J309" i="1"/>
  <c r="L309" i="1"/>
  <c r="J308" i="1"/>
  <c r="L308" i="1"/>
  <c r="J307" i="1"/>
  <c r="L307" i="1"/>
  <c r="J306" i="1"/>
  <c r="L306" i="1"/>
  <c r="J305" i="1"/>
  <c r="L305" i="1"/>
  <c r="J304" i="1"/>
  <c r="L304" i="1"/>
  <c r="J303" i="1"/>
  <c r="L303" i="1"/>
  <c r="J301" i="1"/>
  <c r="L301" i="1"/>
  <c r="J299" i="1"/>
  <c r="L299" i="1"/>
  <c r="J298" i="1"/>
  <c r="L298" i="1"/>
  <c r="J296" i="1"/>
  <c r="L296" i="1"/>
  <c r="J295" i="1"/>
  <c r="L295" i="1"/>
  <c r="J294" i="1"/>
  <c r="L294" i="1"/>
  <c r="J293" i="1"/>
  <c r="L293" i="1"/>
  <c r="J292" i="1"/>
  <c r="L292" i="1"/>
  <c r="J291" i="1"/>
  <c r="L291" i="1"/>
  <c r="J290" i="1"/>
  <c r="L290" i="1"/>
  <c r="J289" i="1"/>
  <c r="L289" i="1"/>
  <c r="J288" i="1"/>
  <c r="L288" i="1"/>
  <c r="J287" i="1"/>
  <c r="L287" i="1"/>
  <c r="J286" i="1"/>
  <c r="L286" i="1"/>
  <c r="J284" i="1"/>
  <c r="L284" i="1"/>
  <c r="J283" i="1"/>
  <c r="L283" i="1"/>
  <c r="J282" i="1"/>
  <c r="L282" i="1"/>
  <c r="J281" i="1"/>
  <c r="L281" i="1"/>
  <c r="J280" i="1"/>
  <c r="L280" i="1"/>
  <c r="J279" i="1"/>
  <c r="L279" i="1"/>
  <c r="J278" i="1"/>
  <c r="L278" i="1"/>
  <c r="J277" i="1"/>
  <c r="L277" i="1"/>
  <c r="J276" i="1"/>
  <c r="L276" i="1"/>
  <c r="J275" i="1"/>
  <c r="L275" i="1"/>
  <c r="J274" i="1"/>
  <c r="L274" i="1"/>
  <c r="J273" i="1"/>
  <c r="L273" i="1"/>
  <c r="J272" i="1"/>
  <c r="L272" i="1"/>
  <c r="J271" i="1"/>
  <c r="L271" i="1"/>
  <c r="J270" i="1"/>
  <c r="L270" i="1"/>
  <c r="J269" i="1"/>
  <c r="L269" i="1"/>
  <c r="J268" i="1"/>
  <c r="L268" i="1"/>
  <c r="J267" i="1"/>
  <c r="L267" i="1"/>
  <c r="J266" i="1"/>
  <c r="L266" i="1"/>
  <c r="J265" i="1"/>
  <c r="L265" i="1"/>
  <c r="J264" i="1"/>
  <c r="L264" i="1"/>
  <c r="J263" i="1"/>
  <c r="L263" i="1"/>
  <c r="J262" i="1"/>
  <c r="L262" i="1"/>
  <c r="J261" i="1"/>
  <c r="L261" i="1"/>
  <c r="J260" i="1"/>
  <c r="L260" i="1"/>
  <c r="J259" i="1"/>
  <c r="L259" i="1"/>
  <c r="J258" i="1"/>
  <c r="L258" i="1"/>
  <c r="J257" i="1"/>
  <c r="L257" i="1"/>
  <c r="J256" i="1"/>
  <c r="L256" i="1"/>
  <c r="J255" i="1"/>
  <c r="L255" i="1"/>
  <c r="J254" i="1"/>
  <c r="L254" i="1"/>
  <c r="J253" i="1"/>
  <c r="L253" i="1"/>
  <c r="J252" i="1"/>
  <c r="L252" i="1"/>
  <c r="J251" i="1"/>
  <c r="L251" i="1"/>
  <c r="J250" i="1"/>
  <c r="L250" i="1"/>
  <c r="J249" i="1"/>
  <c r="L249" i="1"/>
  <c r="J248" i="1"/>
  <c r="L248" i="1"/>
  <c r="J247" i="1"/>
  <c r="L247" i="1"/>
  <c r="J246" i="1"/>
  <c r="L246" i="1"/>
  <c r="J245" i="1"/>
  <c r="L245" i="1"/>
  <c r="J244" i="1"/>
  <c r="L244" i="1"/>
  <c r="J243" i="1"/>
  <c r="L243" i="1"/>
  <c r="J242" i="1"/>
  <c r="L242" i="1"/>
  <c r="J241" i="1"/>
  <c r="L241" i="1"/>
  <c r="J240" i="1"/>
  <c r="L240" i="1"/>
  <c r="J239" i="1"/>
  <c r="L239" i="1"/>
  <c r="J238" i="1"/>
  <c r="L238" i="1"/>
  <c r="J237" i="1"/>
  <c r="L237" i="1"/>
  <c r="J236" i="1"/>
  <c r="L236" i="1"/>
  <c r="J235" i="1"/>
  <c r="L235" i="1"/>
  <c r="J234" i="1"/>
  <c r="L234" i="1"/>
  <c r="J233" i="1"/>
  <c r="L233" i="1"/>
  <c r="J232" i="1"/>
  <c r="L232" i="1"/>
  <c r="J231" i="1"/>
  <c r="L231" i="1"/>
  <c r="J230" i="1"/>
  <c r="L230" i="1"/>
  <c r="J229" i="1"/>
  <c r="L229" i="1"/>
  <c r="J228" i="1"/>
  <c r="L228" i="1"/>
  <c r="J227" i="1"/>
  <c r="L227" i="1"/>
  <c r="J225" i="1"/>
  <c r="L225" i="1"/>
  <c r="J224" i="1"/>
  <c r="L224" i="1"/>
  <c r="J222" i="1"/>
  <c r="L222" i="1"/>
  <c r="J221" i="1"/>
  <c r="L221" i="1"/>
  <c r="J220" i="1"/>
  <c r="L220" i="1"/>
  <c r="J219" i="1"/>
  <c r="L219" i="1"/>
  <c r="J218" i="1"/>
  <c r="L218" i="1"/>
  <c r="J217" i="1"/>
  <c r="L217" i="1"/>
  <c r="J216" i="1"/>
  <c r="L216" i="1"/>
  <c r="J215" i="1"/>
  <c r="L215" i="1"/>
  <c r="J214" i="1"/>
  <c r="L214" i="1"/>
  <c r="J213" i="1"/>
  <c r="L213" i="1"/>
  <c r="J212" i="1"/>
  <c r="L212" i="1"/>
  <c r="J211" i="1"/>
  <c r="L211" i="1"/>
  <c r="J210" i="1"/>
  <c r="L210" i="1"/>
  <c r="J209" i="1"/>
  <c r="L209" i="1"/>
  <c r="J208" i="1"/>
  <c r="L208" i="1"/>
  <c r="J207" i="1"/>
  <c r="L207" i="1"/>
  <c r="J206" i="1"/>
  <c r="L206" i="1"/>
  <c r="J205" i="1"/>
  <c r="L205" i="1"/>
  <c r="J204" i="1"/>
  <c r="L204" i="1"/>
  <c r="J203" i="1"/>
  <c r="L203" i="1"/>
  <c r="J202" i="1"/>
  <c r="L202" i="1"/>
  <c r="J201" i="1"/>
  <c r="L201" i="1"/>
  <c r="J200" i="1"/>
  <c r="L200" i="1"/>
  <c r="J196" i="1"/>
  <c r="L196" i="1"/>
  <c r="J195" i="1"/>
  <c r="L195" i="1"/>
  <c r="J194" i="1"/>
  <c r="L194" i="1"/>
  <c r="J193" i="1"/>
  <c r="L193" i="1"/>
  <c r="J192" i="1"/>
  <c r="L192" i="1"/>
  <c r="J191" i="1"/>
  <c r="L191" i="1"/>
  <c r="J190" i="1"/>
  <c r="L190" i="1"/>
  <c r="J189" i="1"/>
  <c r="L189" i="1"/>
  <c r="J188" i="1"/>
  <c r="L188" i="1"/>
  <c r="J187" i="1"/>
  <c r="L187" i="1"/>
  <c r="J186" i="1"/>
  <c r="L186" i="1"/>
  <c r="J185" i="1"/>
  <c r="L185" i="1"/>
  <c r="J184" i="1"/>
  <c r="L184" i="1"/>
  <c r="J183" i="1"/>
  <c r="L183" i="1"/>
  <c r="J182" i="1"/>
  <c r="L182" i="1"/>
  <c r="J181" i="1"/>
  <c r="L181" i="1"/>
  <c r="J180" i="1"/>
  <c r="L180" i="1"/>
  <c r="J179" i="1"/>
  <c r="L179" i="1"/>
  <c r="J178" i="1"/>
  <c r="L178" i="1"/>
  <c r="J177" i="1"/>
  <c r="L177" i="1"/>
  <c r="J176" i="1"/>
  <c r="L176" i="1"/>
  <c r="J175" i="1"/>
  <c r="L175" i="1"/>
  <c r="J174" i="1"/>
  <c r="L174" i="1"/>
  <c r="J173" i="1"/>
  <c r="L173" i="1"/>
  <c r="J171" i="1"/>
  <c r="L171" i="1"/>
  <c r="J170" i="1"/>
  <c r="L170" i="1"/>
  <c r="J169" i="1"/>
  <c r="L169" i="1"/>
  <c r="J168" i="1"/>
  <c r="L168" i="1"/>
  <c r="J167" i="1"/>
  <c r="L167" i="1"/>
  <c r="J166" i="1"/>
  <c r="L166" i="1"/>
  <c r="J164" i="1"/>
  <c r="L164" i="1"/>
  <c r="J163" i="1"/>
  <c r="L163" i="1"/>
  <c r="J162" i="1"/>
  <c r="L162" i="1"/>
  <c r="J161" i="1"/>
  <c r="L161" i="1"/>
  <c r="J160" i="1"/>
  <c r="L160" i="1"/>
  <c r="J159" i="1"/>
  <c r="L159" i="1"/>
  <c r="J158" i="1"/>
  <c r="L158" i="1"/>
  <c r="J157" i="1"/>
  <c r="L157" i="1"/>
  <c r="J156" i="1"/>
  <c r="L156" i="1"/>
  <c r="J155" i="1"/>
  <c r="L155" i="1"/>
  <c r="J154" i="1"/>
  <c r="L154" i="1"/>
  <c r="J153" i="1"/>
  <c r="L153" i="1"/>
  <c r="J152" i="1"/>
  <c r="L152" i="1"/>
  <c r="J151" i="1"/>
  <c r="L151" i="1"/>
  <c r="J150" i="1"/>
  <c r="L150" i="1"/>
  <c r="J149" i="1"/>
  <c r="L149" i="1"/>
  <c r="J148" i="1"/>
  <c r="L148" i="1"/>
  <c r="J146" i="1"/>
  <c r="L146" i="1"/>
  <c r="J145" i="1"/>
  <c r="L145" i="1"/>
  <c r="J144" i="1"/>
  <c r="L144" i="1"/>
  <c r="J142" i="1"/>
  <c r="L142" i="1"/>
  <c r="J141" i="1"/>
  <c r="L141" i="1"/>
  <c r="J140" i="1"/>
  <c r="L140" i="1"/>
  <c r="J139" i="1"/>
  <c r="L139" i="1"/>
  <c r="J138" i="1"/>
  <c r="L138" i="1"/>
  <c r="J137" i="1"/>
  <c r="L137" i="1"/>
  <c r="J136" i="1"/>
  <c r="L136" i="1"/>
  <c r="J135" i="1"/>
  <c r="L135" i="1"/>
  <c r="J134" i="1"/>
  <c r="L134" i="1"/>
  <c r="J132" i="1"/>
  <c r="L132" i="1"/>
  <c r="J131" i="1"/>
  <c r="L131" i="1"/>
  <c r="J130" i="1"/>
  <c r="L130" i="1"/>
  <c r="J128" i="1"/>
  <c r="L128" i="1"/>
  <c r="J127" i="1"/>
  <c r="L127" i="1"/>
  <c r="J126" i="1"/>
  <c r="L126" i="1"/>
  <c r="J125" i="1"/>
  <c r="L125" i="1"/>
  <c r="J124" i="1"/>
  <c r="L124" i="1"/>
  <c r="J123" i="1"/>
  <c r="L123" i="1"/>
  <c r="J122" i="1"/>
  <c r="L122" i="1"/>
  <c r="J121" i="1"/>
  <c r="L121" i="1"/>
  <c r="J119" i="1"/>
  <c r="L119" i="1"/>
  <c r="J118" i="1"/>
  <c r="L118" i="1"/>
  <c r="J117" i="1"/>
  <c r="L117" i="1"/>
  <c r="J116" i="1"/>
  <c r="L116" i="1"/>
  <c r="J115" i="1"/>
  <c r="L115" i="1"/>
  <c r="J114" i="1"/>
  <c r="L114" i="1"/>
  <c r="J113" i="1"/>
  <c r="L113" i="1"/>
  <c r="J112" i="1"/>
  <c r="L112" i="1"/>
  <c r="J111" i="1"/>
  <c r="L111" i="1"/>
  <c r="J110" i="1"/>
  <c r="L110" i="1"/>
  <c r="J109" i="1"/>
  <c r="L109" i="1"/>
  <c r="J108" i="1"/>
  <c r="L108" i="1"/>
  <c r="J107" i="1"/>
  <c r="L107" i="1"/>
  <c r="J106" i="1"/>
  <c r="L106" i="1"/>
  <c r="J105" i="1"/>
  <c r="L105" i="1"/>
  <c r="J104" i="1"/>
  <c r="L104" i="1"/>
  <c r="J103" i="1"/>
  <c r="L103" i="1"/>
  <c r="J102" i="1"/>
  <c r="L102" i="1"/>
  <c r="J101" i="1"/>
  <c r="L101" i="1"/>
  <c r="J100" i="1"/>
  <c r="L100" i="1"/>
  <c r="J99" i="1"/>
  <c r="L99" i="1"/>
  <c r="J98" i="1"/>
  <c r="L98" i="1"/>
  <c r="J97" i="1"/>
  <c r="L97" i="1"/>
  <c r="J96" i="1"/>
  <c r="L96" i="1"/>
  <c r="J95" i="1"/>
  <c r="L95" i="1"/>
  <c r="J94" i="1"/>
  <c r="L94" i="1"/>
  <c r="J93" i="1"/>
  <c r="L93" i="1"/>
  <c r="J92" i="1"/>
  <c r="L92" i="1"/>
  <c r="J91" i="1"/>
  <c r="L91" i="1"/>
  <c r="J90" i="1"/>
  <c r="L90" i="1"/>
  <c r="J89" i="1"/>
  <c r="L89" i="1"/>
  <c r="J88" i="1"/>
  <c r="L88" i="1"/>
  <c r="J86" i="1"/>
  <c r="L86" i="1"/>
  <c r="J85" i="1"/>
  <c r="L85" i="1"/>
  <c r="J84" i="1"/>
  <c r="L84" i="1"/>
  <c r="J83" i="1"/>
  <c r="L83" i="1"/>
  <c r="J82" i="1"/>
  <c r="L82" i="1"/>
  <c r="J80" i="1"/>
  <c r="L80" i="1"/>
  <c r="J79" i="1"/>
  <c r="L79" i="1"/>
  <c r="J77" i="1"/>
  <c r="L77" i="1"/>
  <c r="J76" i="1"/>
  <c r="L76" i="1"/>
  <c r="J75" i="1"/>
  <c r="L75" i="1"/>
  <c r="J74" i="1"/>
  <c r="L74" i="1"/>
  <c r="J73" i="1"/>
  <c r="L73" i="1"/>
  <c r="J72" i="1"/>
  <c r="L72" i="1"/>
  <c r="J71" i="1"/>
  <c r="L71" i="1"/>
  <c r="J70" i="1"/>
  <c r="L70" i="1"/>
  <c r="J69" i="1"/>
  <c r="L69" i="1"/>
  <c r="J68" i="1"/>
  <c r="L68" i="1"/>
  <c r="J67" i="1"/>
  <c r="L67" i="1"/>
  <c r="J66" i="1"/>
  <c r="L66" i="1"/>
  <c r="J65" i="1"/>
  <c r="L65" i="1"/>
  <c r="J64" i="1"/>
  <c r="L64" i="1"/>
  <c r="J62" i="1"/>
  <c r="L62" i="1"/>
  <c r="J61" i="1"/>
  <c r="L61" i="1"/>
  <c r="J60" i="1"/>
  <c r="L60" i="1"/>
  <c r="J59" i="1"/>
  <c r="L59" i="1"/>
  <c r="J58" i="1"/>
  <c r="L58" i="1"/>
  <c r="J57" i="1"/>
  <c r="L57" i="1"/>
  <c r="J56" i="1"/>
  <c r="L56" i="1"/>
  <c r="J55" i="1"/>
  <c r="L55" i="1"/>
  <c r="J54" i="1"/>
  <c r="L54" i="1"/>
  <c r="J53" i="1"/>
  <c r="L53" i="1"/>
  <c r="J52" i="1"/>
  <c r="L52" i="1"/>
  <c r="J51" i="1"/>
  <c r="L51" i="1"/>
  <c r="J50" i="1"/>
  <c r="L50" i="1"/>
  <c r="J49" i="1"/>
  <c r="L49" i="1"/>
  <c r="J48" i="1"/>
  <c r="L48" i="1"/>
  <c r="J47" i="1"/>
  <c r="L47" i="1"/>
  <c r="J46" i="1"/>
  <c r="L46" i="1"/>
  <c r="J45" i="1"/>
  <c r="L45" i="1"/>
  <c r="J44" i="1"/>
  <c r="L44" i="1"/>
  <c r="J43" i="1"/>
  <c r="L43" i="1"/>
  <c r="J42" i="1"/>
  <c r="L42" i="1"/>
  <c r="J41" i="1"/>
  <c r="L41" i="1"/>
  <c r="J40" i="1"/>
  <c r="L40" i="1"/>
  <c r="J39" i="1"/>
  <c r="L39" i="1"/>
  <c r="J38" i="1"/>
  <c r="L38" i="1"/>
  <c r="J37" i="1"/>
  <c r="L37" i="1"/>
  <c r="J36" i="1"/>
  <c r="L36" i="1"/>
  <c r="J35" i="1"/>
  <c r="L35" i="1"/>
  <c r="J34" i="1"/>
  <c r="L34" i="1"/>
  <c r="J33" i="1"/>
  <c r="L33" i="1"/>
  <c r="J31" i="1"/>
  <c r="L31" i="1"/>
  <c r="J30" i="1"/>
  <c r="L30" i="1"/>
  <c r="J29" i="1"/>
  <c r="L29" i="1"/>
  <c r="J28" i="1"/>
  <c r="L28" i="1"/>
  <c r="J27" i="1"/>
  <c r="L27" i="1"/>
  <c r="J26" i="1"/>
  <c r="L26" i="1"/>
  <c r="J25" i="1"/>
  <c r="L25" i="1"/>
  <c r="J24" i="1"/>
  <c r="L24" i="1"/>
  <c r="J23" i="1"/>
  <c r="L23" i="1"/>
  <c r="J22" i="1"/>
  <c r="L22" i="1"/>
  <c r="J21" i="1"/>
  <c r="L21" i="1"/>
  <c r="J20" i="1"/>
  <c r="L20" i="1"/>
  <c r="J19" i="1"/>
  <c r="L19" i="1"/>
  <c r="J17" i="1"/>
  <c r="L17" i="1"/>
  <c r="J16" i="1"/>
  <c r="L16" i="1"/>
  <c r="J15" i="1"/>
  <c r="L15" i="1"/>
  <c r="J14" i="1"/>
  <c r="L14" i="1"/>
  <c r="J13" i="1"/>
  <c r="L13" i="1"/>
  <c r="J12" i="1"/>
  <c r="L12" i="1"/>
  <c r="J10" i="1"/>
  <c r="L10" i="1"/>
  <c r="J9" i="1"/>
  <c r="L9" i="1"/>
  <c r="J8" i="1"/>
  <c r="L8" i="1"/>
  <c r="J7" i="1"/>
  <c r="L7" i="1"/>
  <c r="C10" i="2"/>
  <c r="C13" i="2"/>
  <c r="B13" i="2"/>
  <c r="B5" i="2"/>
  <c r="B4" i="2"/>
  <c r="B11" i="2"/>
  <c r="C5" i="2"/>
  <c r="C4" i="2"/>
  <c r="C11" i="2"/>
  <c r="B12" i="2"/>
  <c r="C12" i="2"/>
  <c r="D12" i="2"/>
  <c r="B6" i="2"/>
  <c r="B7" i="2"/>
  <c r="C6" i="2"/>
  <c r="C7" i="2"/>
  <c r="D11" i="2"/>
  <c r="D10" i="2"/>
  <c r="B9" i="2"/>
  <c r="C9" i="2"/>
  <c r="D9" i="2"/>
  <c r="B8" i="2"/>
  <c r="C8" i="2"/>
  <c r="D8" i="2"/>
  <c r="D7" i="2"/>
  <c r="D6" i="2"/>
  <c r="D5" i="2"/>
  <c r="D4" i="2"/>
  <c r="N501" i="1"/>
  <c r="M501" i="1"/>
  <c r="D501" i="1"/>
  <c r="N500" i="1"/>
  <c r="M500" i="1"/>
  <c r="D500" i="1"/>
  <c r="N499" i="1"/>
  <c r="M499" i="1"/>
  <c r="D499" i="1"/>
  <c r="N498" i="1"/>
  <c r="M498" i="1"/>
  <c r="D498" i="1"/>
  <c r="N497" i="1"/>
  <c r="M497" i="1"/>
  <c r="D497" i="1"/>
  <c r="N496" i="1"/>
  <c r="M496" i="1"/>
  <c r="D496" i="1"/>
  <c r="N495" i="1"/>
  <c r="M495" i="1"/>
  <c r="D495" i="1"/>
  <c r="N494" i="1"/>
  <c r="M494" i="1"/>
  <c r="D494" i="1"/>
  <c r="N493" i="1"/>
  <c r="M493" i="1"/>
  <c r="D493" i="1"/>
  <c r="N492" i="1"/>
  <c r="M492" i="1"/>
  <c r="D492" i="1"/>
  <c r="N491" i="1"/>
  <c r="M491" i="1"/>
  <c r="D491" i="1"/>
  <c r="N490" i="1"/>
  <c r="M490" i="1"/>
  <c r="D490" i="1"/>
  <c r="N489" i="1"/>
  <c r="M489" i="1"/>
  <c r="D489" i="1"/>
  <c r="N488" i="1"/>
  <c r="M488" i="1"/>
  <c r="D488" i="1"/>
  <c r="N487" i="1"/>
  <c r="M487" i="1"/>
  <c r="D487" i="1"/>
  <c r="N486" i="1"/>
  <c r="M486" i="1"/>
  <c r="D486" i="1"/>
  <c r="N485" i="1"/>
  <c r="M485" i="1"/>
  <c r="D485" i="1"/>
  <c r="N484" i="1"/>
  <c r="M484" i="1"/>
  <c r="D484" i="1"/>
  <c r="N483" i="1"/>
  <c r="M483" i="1"/>
  <c r="D483" i="1"/>
  <c r="N482" i="1"/>
  <c r="M482" i="1"/>
  <c r="D482" i="1"/>
  <c r="N481" i="1"/>
  <c r="M481" i="1"/>
  <c r="D481" i="1"/>
  <c r="N480" i="1"/>
  <c r="M480" i="1"/>
  <c r="D480" i="1"/>
  <c r="N479" i="1"/>
  <c r="M479" i="1"/>
  <c r="D479" i="1"/>
  <c r="N478" i="1"/>
  <c r="M478" i="1"/>
  <c r="D478" i="1"/>
  <c r="N477" i="1"/>
  <c r="M477" i="1"/>
  <c r="D477" i="1"/>
  <c r="N476" i="1"/>
  <c r="M476" i="1"/>
  <c r="D476" i="1"/>
  <c r="N475" i="1"/>
  <c r="M475" i="1"/>
  <c r="D475" i="1"/>
  <c r="N474" i="1"/>
  <c r="M474" i="1"/>
  <c r="D474" i="1"/>
  <c r="N473" i="1"/>
  <c r="M473" i="1"/>
  <c r="D473" i="1"/>
  <c r="N472" i="1"/>
  <c r="M472" i="1"/>
  <c r="D472" i="1"/>
  <c r="N471" i="1"/>
  <c r="M471" i="1"/>
  <c r="D471" i="1"/>
  <c r="N470" i="1"/>
  <c r="M470" i="1"/>
  <c r="D470" i="1"/>
  <c r="N469" i="1"/>
  <c r="M469" i="1"/>
  <c r="D469" i="1"/>
  <c r="N468" i="1"/>
  <c r="M468" i="1"/>
  <c r="D468" i="1"/>
  <c r="N467" i="1"/>
  <c r="M467" i="1"/>
  <c r="D467" i="1"/>
  <c r="N466" i="1"/>
  <c r="M466" i="1"/>
  <c r="D466" i="1"/>
  <c r="N465" i="1"/>
  <c r="M465" i="1"/>
  <c r="D465" i="1"/>
  <c r="N464" i="1"/>
  <c r="M464" i="1"/>
  <c r="D464" i="1"/>
  <c r="N463" i="1"/>
  <c r="M463" i="1"/>
  <c r="D463" i="1"/>
  <c r="N462" i="1"/>
  <c r="M462" i="1"/>
  <c r="D462" i="1"/>
  <c r="N461" i="1"/>
  <c r="M461" i="1"/>
  <c r="D461" i="1"/>
  <c r="N460" i="1"/>
  <c r="M460" i="1"/>
  <c r="D460" i="1"/>
  <c r="N459" i="1"/>
  <c r="M459" i="1"/>
  <c r="D459" i="1"/>
  <c r="N458" i="1"/>
  <c r="M458" i="1"/>
  <c r="D458" i="1"/>
  <c r="N457" i="1"/>
  <c r="M457" i="1"/>
  <c r="D457" i="1"/>
  <c r="N456" i="1"/>
  <c r="M456" i="1"/>
  <c r="D456" i="1"/>
  <c r="N455" i="1"/>
  <c r="M455" i="1"/>
  <c r="D455" i="1"/>
  <c r="N454" i="1"/>
  <c r="M454" i="1"/>
  <c r="D454" i="1"/>
  <c r="N453" i="1"/>
  <c r="M453" i="1"/>
  <c r="D453" i="1"/>
  <c r="N452" i="1"/>
  <c r="M452" i="1"/>
  <c r="D452" i="1"/>
  <c r="N451" i="1"/>
  <c r="M451" i="1"/>
  <c r="D451" i="1"/>
  <c r="N450" i="1"/>
  <c r="M450" i="1"/>
  <c r="D450" i="1"/>
  <c r="N449" i="1"/>
  <c r="M449" i="1"/>
  <c r="D449" i="1"/>
  <c r="N448" i="1"/>
  <c r="M448" i="1"/>
  <c r="D448" i="1"/>
  <c r="N447" i="1"/>
  <c r="M447" i="1"/>
  <c r="D447" i="1"/>
  <c r="N446" i="1"/>
  <c r="M446" i="1"/>
  <c r="D446" i="1"/>
  <c r="N445" i="1"/>
  <c r="M445" i="1"/>
  <c r="D445" i="1"/>
  <c r="N444" i="1"/>
  <c r="M444" i="1"/>
  <c r="D444" i="1"/>
  <c r="N443" i="1"/>
  <c r="M443" i="1"/>
  <c r="D443" i="1"/>
  <c r="N442" i="1"/>
  <c r="M442" i="1"/>
  <c r="D442" i="1"/>
  <c r="N441" i="1"/>
  <c r="M441" i="1"/>
  <c r="D441" i="1"/>
  <c r="N440" i="1"/>
  <c r="M440" i="1"/>
  <c r="D440" i="1"/>
  <c r="N439" i="1"/>
  <c r="M439" i="1"/>
  <c r="D439" i="1"/>
  <c r="N438" i="1"/>
  <c r="M438" i="1"/>
  <c r="D438" i="1"/>
  <c r="N437" i="1"/>
  <c r="M437" i="1"/>
  <c r="D437" i="1"/>
  <c r="N436" i="1"/>
  <c r="M436" i="1"/>
  <c r="D436" i="1"/>
  <c r="N435" i="1"/>
  <c r="M435" i="1"/>
  <c r="D435" i="1"/>
  <c r="N434" i="1"/>
  <c r="M434" i="1"/>
  <c r="D434" i="1"/>
  <c r="N433" i="1"/>
  <c r="M433" i="1"/>
  <c r="D433" i="1"/>
  <c r="N432" i="1"/>
  <c r="M432" i="1"/>
  <c r="D432" i="1"/>
  <c r="N431" i="1"/>
  <c r="M431" i="1"/>
  <c r="D431" i="1"/>
  <c r="N430" i="1"/>
  <c r="M430" i="1"/>
  <c r="D430" i="1"/>
  <c r="N429" i="1"/>
  <c r="M429" i="1"/>
  <c r="D429" i="1"/>
  <c r="N428" i="1"/>
  <c r="M428" i="1"/>
  <c r="D428" i="1"/>
  <c r="N427" i="1"/>
  <c r="M427" i="1"/>
  <c r="D427" i="1"/>
  <c r="N426" i="1"/>
  <c r="M426" i="1"/>
  <c r="D426" i="1"/>
  <c r="N425" i="1"/>
  <c r="M425" i="1"/>
  <c r="D425" i="1"/>
  <c r="N424" i="1"/>
  <c r="M424" i="1"/>
  <c r="D424" i="1"/>
  <c r="N423" i="1"/>
  <c r="M423" i="1"/>
  <c r="D423" i="1"/>
  <c r="N422" i="1"/>
  <c r="M422" i="1"/>
  <c r="D422" i="1"/>
  <c r="N421" i="1"/>
  <c r="M421" i="1"/>
  <c r="D421" i="1"/>
  <c r="N420" i="1"/>
  <c r="M420" i="1"/>
  <c r="D420" i="1"/>
  <c r="N419" i="1"/>
  <c r="M419" i="1"/>
  <c r="D419" i="1"/>
  <c r="N418" i="1"/>
  <c r="M418" i="1"/>
  <c r="D418" i="1"/>
  <c r="N417" i="1"/>
  <c r="M417" i="1"/>
  <c r="D417" i="1"/>
  <c r="N416" i="1"/>
  <c r="M416" i="1"/>
  <c r="D416" i="1"/>
  <c r="N415" i="1"/>
  <c r="M415" i="1"/>
  <c r="D415" i="1"/>
  <c r="N414" i="1"/>
  <c r="M414" i="1"/>
  <c r="D414" i="1"/>
  <c r="N413" i="1"/>
  <c r="M413" i="1"/>
  <c r="D413" i="1"/>
  <c r="N412" i="1"/>
  <c r="M412" i="1"/>
  <c r="D412" i="1"/>
  <c r="N411" i="1"/>
  <c r="M411" i="1"/>
  <c r="D411" i="1"/>
  <c r="N410" i="1"/>
  <c r="M410" i="1"/>
  <c r="D410" i="1"/>
  <c r="N409" i="1"/>
  <c r="M409" i="1"/>
  <c r="D409" i="1"/>
  <c r="N408" i="1"/>
  <c r="M408" i="1"/>
  <c r="D408" i="1"/>
  <c r="N407" i="1"/>
  <c r="M407" i="1"/>
  <c r="D407" i="1"/>
  <c r="N406" i="1"/>
  <c r="M406" i="1"/>
  <c r="D406" i="1"/>
  <c r="N405" i="1"/>
  <c r="M405" i="1"/>
  <c r="D405" i="1"/>
  <c r="N404" i="1"/>
  <c r="M404" i="1"/>
  <c r="D404" i="1"/>
  <c r="N403" i="1"/>
  <c r="M403" i="1"/>
  <c r="D403" i="1"/>
  <c r="N402" i="1"/>
  <c r="M402" i="1"/>
  <c r="D402" i="1"/>
  <c r="N401" i="1"/>
  <c r="M401" i="1"/>
  <c r="D401" i="1"/>
  <c r="N400" i="1"/>
  <c r="M400" i="1"/>
  <c r="D400" i="1"/>
  <c r="N399" i="1"/>
  <c r="M399" i="1"/>
  <c r="D399" i="1"/>
  <c r="N398" i="1"/>
  <c r="M398" i="1"/>
  <c r="D398" i="1"/>
  <c r="N397" i="1"/>
  <c r="M397" i="1"/>
  <c r="D397" i="1"/>
  <c r="N396" i="1"/>
  <c r="M396" i="1"/>
  <c r="D396" i="1"/>
  <c r="N395" i="1"/>
  <c r="M395" i="1"/>
  <c r="D395" i="1"/>
  <c r="N394" i="1"/>
  <c r="M394" i="1"/>
  <c r="D394" i="1"/>
  <c r="N393" i="1"/>
  <c r="M393" i="1"/>
  <c r="D393" i="1"/>
  <c r="N392" i="1"/>
  <c r="M392" i="1"/>
  <c r="D392" i="1"/>
  <c r="N391" i="1"/>
  <c r="M391" i="1"/>
  <c r="D391" i="1"/>
  <c r="N390" i="1"/>
  <c r="M390" i="1"/>
  <c r="D390" i="1"/>
  <c r="N389" i="1"/>
  <c r="M389" i="1"/>
  <c r="D389" i="1"/>
  <c r="N388" i="1"/>
  <c r="M388" i="1"/>
  <c r="D388" i="1"/>
  <c r="N387" i="1"/>
  <c r="M387" i="1"/>
  <c r="D387" i="1"/>
  <c r="N386" i="1"/>
  <c r="M386" i="1"/>
  <c r="D386" i="1"/>
  <c r="N385" i="1"/>
  <c r="M385" i="1"/>
  <c r="D385" i="1"/>
  <c r="N384" i="1"/>
  <c r="M384" i="1"/>
  <c r="D384" i="1"/>
  <c r="N383" i="1"/>
  <c r="M383" i="1"/>
  <c r="D383" i="1"/>
  <c r="N382" i="1"/>
  <c r="M382" i="1"/>
  <c r="D382" i="1"/>
  <c r="N381" i="1"/>
  <c r="M381" i="1"/>
  <c r="D381" i="1"/>
  <c r="N380" i="1"/>
  <c r="M380" i="1"/>
  <c r="D380" i="1"/>
  <c r="N379" i="1"/>
  <c r="M379" i="1"/>
  <c r="D379" i="1"/>
  <c r="N378" i="1"/>
  <c r="M378" i="1"/>
  <c r="D378" i="1"/>
  <c r="N377" i="1"/>
  <c r="M377" i="1"/>
  <c r="D377" i="1"/>
  <c r="N376" i="1"/>
  <c r="M376" i="1"/>
  <c r="D376" i="1"/>
  <c r="N375" i="1"/>
  <c r="M375" i="1"/>
  <c r="D375" i="1"/>
  <c r="N374" i="1"/>
  <c r="M374" i="1"/>
  <c r="D374" i="1"/>
  <c r="N373" i="1"/>
  <c r="M373" i="1"/>
  <c r="D373" i="1"/>
  <c r="N372" i="1"/>
  <c r="M372" i="1"/>
  <c r="D372" i="1"/>
  <c r="N371" i="1"/>
  <c r="M371" i="1"/>
  <c r="D371" i="1"/>
  <c r="N370" i="1"/>
  <c r="M370" i="1"/>
  <c r="D370" i="1"/>
  <c r="N369" i="1"/>
  <c r="M369" i="1"/>
  <c r="D369" i="1"/>
  <c r="N368" i="1"/>
  <c r="M368" i="1"/>
  <c r="D368" i="1"/>
  <c r="N367" i="1"/>
  <c r="M367" i="1"/>
  <c r="D367" i="1"/>
  <c r="N366" i="1"/>
  <c r="M366" i="1"/>
  <c r="D366" i="1"/>
  <c r="N365" i="1"/>
  <c r="M365" i="1"/>
  <c r="D365" i="1"/>
  <c r="N364" i="1"/>
  <c r="M364" i="1"/>
  <c r="D364" i="1"/>
  <c r="N363" i="1"/>
  <c r="M363" i="1"/>
  <c r="D363" i="1"/>
  <c r="N362" i="1"/>
  <c r="M362" i="1"/>
  <c r="D362" i="1"/>
  <c r="N361" i="1"/>
  <c r="M361" i="1"/>
  <c r="D361" i="1"/>
  <c r="N360" i="1"/>
  <c r="M360" i="1"/>
  <c r="D360" i="1"/>
  <c r="N359" i="1"/>
  <c r="M359" i="1"/>
  <c r="D359" i="1"/>
  <c r="N358" i="1"/>
  <c r="M358" i="1"/>
  <c r="D358" i="1"/>
  <c r="N357" i="1"/>
  <c r="M357" i="1"/>
  <c r="D357" i="1"/>
  <c r="N356" i="1"/>
  <c r="M356" i="1"/>
  <c r="D356" i="1"/>
  <c r="N355" i="1"/>
  <c r="M355" i="1"/>
  <c r="D355" i="1"/>
  <c r="N354" i="1"/>
  <c r="M354" i="1"/>
  <c r="D354" i="1"/>
  <c r="N353" i="1"/>
  <c r="M353" i="1"/>
  <c r="D353" i="1"/>
  <c r="N352" i="1"/>
  <c r="M352" i="1"/>
  <c r="D352" i="1"/>
  <c r="N351" i="1"/>
  <c r="M351" i="1"/>
  <c r="D351" i="1"/>
  <c r="N350" i="1"/>
  <c r="M350" i="1"/>
  <c r="D350" i="1"/>
  <c r="N349" i="1"/>
  <c r="M349" i="1"/>
  <c r="D349" i="1"/>
  <c r="N348" i="1"/>
  <c r="M348" i="1"/>
  <c r="D348" i="1"/>
  <c r="N347" i="1"/>
  <c r="M347" i="1"/>
  <c r="D347" i="1"/>
  <c r="N346" i="1"/>
  <c r="M346" i="1"/>
  <c r="D346" i="1"/>
  <c r="N345" i="1"/>
  <c r="M345" i="1"/>
  <c r="D345" i="1"/>
  <c r="N344" i="1"/>
  <c r="M344" i="1"/>
  <c r="D344" i="1"/>
  <c r="N343" i="1"/>
  <c r="M343" i="1"/>
  <c r="D343" i="1"/>
  <c r="N342" i="1"/>
  <c r="M342" i="1"/>
  <c r="D342" i="1"/>
  <c r="N341" i="1"/>
  <c r="M341" i="1"/>
  <c r="D341" i="1"/>
  <c r="N340" i="1"/>
  <c r="M340" i="1"/>
  <c r="D340" i="1"/>
  <c r="N339" i="1"/>
  <c r="M339" i="1"/>
  <c r="D339" i="1"/>
  <c r="N338" i="1"/>
  <c r="M338" i="1"/>
  <c r="D338" i="1"/>
  <c r="N337" i="1"/>
  <c r="M337" i="1"/>
  <c r="D337" i="1"/>
  <c r="N336" i="1"/>
  <c r="M336" i="1"/>
  <c r="D336" i="1"/>
  <c r="N335" i="1"/>
  <c r="M335" i="1"/>
  <c r="D335" i="1"/>
  <c r="N334" i="1"/>
  <c r="M334" i="1"/>
  <c r="D334" i="1"/>
  <c r="N333" i="1"/>
  <c r="M333" i="1"/>
  <c r="D333" i="1"/>
  <c r="N332" i="1"/>
  <c r="M332" i="1"/>
  <c r="D332" i="1"/>
  <c r="N331" i="1"/>
  <c r="M331" i="1"/>
  <c r="D331" i="1"/>
  <c r="N330" i="1"/>
  <c r="M330" i="1"/>
  <c r="D330" i="1"/>
  <c r="N329" i="1"/>
  <c r="M329" i="1"/>
  <c r="D329" i="1"/>
  <c r="N328" i="1"/>
  <c r="M328" i="1"/>
  <c r="D328" i="1"/>
  <c r="N327" i="1"/>
  <c r="M327" i="1"/>
  <c r="D327" i="1"/>
  <c r="N326" i="1"/>
  <c r="M326" i="1"/>
  <c r="D326" i="1"/>
  <c r="N325" i="1"/>
  <c r="M325" i="1"/>
  <c r="D325" i="1"/>
  <c r="N324" i="1"/>
  <c r="M324" i="1"/>
  <c r="D324" i="1"/>
  <c r="N323" i="1"/>
  <c r="M323" i="1"/>
  <c r="D323" i="1"/>
  <c r="N322" i="1"/>
  <c r="M322" i="1"/>
  <c r="D322" i="1"/>
  <c r="N321" i="1"/>
  <c r="M321" i="1"/>
  <c r="D321" i="1"/>
  <c r="N320" i="1"/>
  <c r="M320" i="1"/>
  <c r="D320" i="1"/>
  <c r="N319" i="1"/>
  <c r="M319" i="1"/>
  <c r="D319" i="1"/>
  <c r="N318" i="1"/>
  <c r="M318" i="1"/>
  <c r="D318" i="1"/>
  <c r="N317" i="1"/>
  <c r="M317" i="1"/>
  <c r="D317" i="1"/>
  <c r="N316" i="1"/>
  <c r="M316" i="1"/>
  <c r="D316" i="1"/>
  <c r="N315" i="1"/>
  <c r="M315" i="1"/>
  <c r="D315" i="1"/>
  <c r="N314" i="1"/>
  <c r="M314" i="1"/>
  <c r="D314" i="1"/>
  <c r="N313" i="1"/>
  <c r="M313" i="1"/>
  <c r="D313" i="1"/>
  <c r="N312" i="1"/>
  <c r="M312" i="1"/>
  <c r="D312" i="1"/>
  <c r="N311" i="1"/>
  <c r="M311" i="1"/>
  <c r="D311" i="1"/>
  <c r="N310" i="1"/>
  <c r="M310" i="1"/>
  <c r="D310" i="1"/>
  <c r="N309" i="1"/>
  <c r="M309" i="1"/>
  <c r="D309" i="1"/>
  <c r="N308" i="1"/>
  <c r="M308" i="1"/>
  <c r="D308" i="1"/>
  <c r="N307" i="1"/>
  <c r="M307" i="1"/>
  <c r="D307" i="1"/>
  <c r="N306" i="1"/>
  <c r="M306" i="1"/>
  <c r="D306" i="1"/>
  <c r="N305" i="1"/>
  <c r="M305" i="1"/>
  <c r="D305" i="1"/>
  <c r="N304" i="1"/>
  <c r="M304" i="1"/>
  <c r="D304" i="1"/>
  <c r="N303" i="1"/>
  <c r="M303" i="1"/>
  <c r="D303" i="1"/>
  <c r="N302" i="1"/>
  <c r="M302" i="1"/>
  <c r="D302" i="1"/>
  <c r="N301" i="1"/>
  <c r="M301" i="1"/>
  <c r="D301" i="1"/>
  <c r="N300" i="1"/>
  <c r="M300" i="1"/>
  <c r="D300" i="1"/>
  <c r="N299" i="1"/>
  <c r="M299" i="1"/>
  <c r="D299" i="1"/>
  <c r="N298" i="1"/>
  <c r="M298" i="1"/>
  <c r="D298" i="1"/>
  <c r="N297" i="1"/>
  <c r="M297" i="1"/>
  <c r="D297" i="1"/>
  <c r="N296" i="1"/>
  <c r="M296" i="1"/>
  <c r="D296" i="1"/>
  <c r="N295" i="1"/>
  <c r="M295" i="1"/>
  <c r="D295" i="1"/>
  <c r="N294" i="1"/>
  <c r="M294" i="1"/>
  <c r="D294" i="1"/>
  <c r="N293" i="1"/>
  <c r="M293" i="1"/>
  <c r="D293" i="1"/>
  <c r="N292" i="1"/>
  <c r="M292" i="1"/>
  <c r="D292" i="1"/>
  <c r="N291" i="1"/>
  <c r="M291" i="1"/>
  <c r="D291" i="1"/>
  <c r="N290" i="1"/>
  <c r="M290" i="1"/>
  <c r="D290" i="1"/>
  <c r="N289" i="1"/>
  <c r="M289" i="1"/>
  <c r="D289" i="1"/>
  <c r="N288" i="1"/>
  <c r="M288" i="1"/>
  <c r="D288" i="1"/>
  <c r="N287" i="1"/>
  <c r="M287" i="1"/>
  <c r="D287" i="1"/>
  <c r="N286" i="1"/>
  <c r="M286" i="1"/>
  <c r="D286" i="1"/>
  <c r="N285" i="1"/>
  <c r="M285" i="1"/>
  <c r="D285" i="1"/>
  <c r="N284" i="1"/>
  <c r="M284" i="1"/>
  <c r="D284" i="1"/>
  <c r="N283" i="1"/>
  <c r="M283" i="1"/>
  <c r="D283" i="1"/>
  <c r="N282" i="1"/>
  <c r="M282" i="1"/>
  <c r="D282" i="1"/>
  <c r="N281" i="1"/>
  <c r="M281" i="1"/>
  <c r="D281" i="1"/>
  <c r="N280" i="1"/>
  <c r="M280" i="1"/>
  <c r="D280" i="1"/>
  <c r="N279" i="1"/>
  <c r="M279" i="1"/>
  <c r="D279" i="1"/>
  <c r="N278" i="1"/>
  <c r="M278" i="1"/>
  <c r="D278" i="1"/>
  <c r="N277" i="1"/>
  <c r="M277" i="1"/>
  <c r="D277" i="1"/>
  <c r="N276" i="1"/>
  <c r="M276" i="1"/>
  <c r="D276" i="1"/>
  <c r="N275" i="1"/>
  <c r="M275" i="1"/>
  <c r="D275" i="1"/>
  <c r="N274" i="1"/>
  <c r="M274" i="1"/>
  <c r="D274" i="1"/>
  <c r="N273" i="1"/>
  <c r="M273" i="1"/>
  <c r="D273" i="1"/>
  <c r="N272" i="1"/>
  <c r="M272" i="1"/>
  <c r="D272" i="1"/>
  <c r="N271" i="1"/>
  <c r="M271" i="1"/>
  <c r="D271" i="1"/>
  <c r="N270" i="1"/>
  <c r="M270" i="1"/>
  <c r="D270" i="1"/>
  <c r="N269" i="1"/>
  <c r="M269" i="1"/>
  <c r="D269" i="1"/>
  <c r="N268" i="1"/>
  <c r="M268" i="1"/>
  <c r="D268" i="1"/>
  <c r="N267" i="1"/>
  <c r="M267" i="1"/>
  <c r="D267" i="1"/>
  <c r="N266" i="1"/>
  <c r="M266" i="1"/>
  <c r="D266" i="1"/>
  <c r="N265" i="1"/>
  <c r="M265" i="1"/>
  <c r="D265" i="1"/>
  <c r="N264" i="1"/>
  <c r="M264" i="1"/>
  <c r="D264" i="1"/>
  <c r="N263" i="1"/>
  <c r="M263" i="1"/>
  <c r="D263" i="1"/>
  <c r="N262" i="1"/>
  <c r="M262" i="1"/>
  <c r="D262" i="1"/>
  <c r="N261" i="1"/>
  <c r="M261" i="1"/>
  <c r="D261" i="1"/>
  <c r="N260" i="1"/>
  <c r="M260" i="1"/>
  <c r="D260" i="1"/>
  <c r="N259" i="1"/>
  <c r="M259" i="1"/>
  <c r="D259" i="1"/>
  <c r="N258" i="1"/>
  <c r="M258" i="1"/>
  <c r="D258" i="1"/>
  <c r="N257" i="1"/>
  <c r="M257" i="1"/>
  <c r="D257" i="1"/>
  <c r="N256" i="1"/>
  <c r="M256" i="1"/>
  <c r="D256" i="1"/>
  <c r="N255" i="1"/>
  <c r="M255" i="1"/>
  <c r="D255" i="1"/>
  <c r="N254" i="1"/>
  <c r="M254" i="1"/>
  <c r="D254" i="1"/>
  <c r="N253" i="1"/>
  <c r="M253" i="1"/>
  <c r="D253" i="1"/>
  <c r="N252" i="1"/>
  <c r="M252" i="1"/>
  <c r="D252" i="1"/>
  <c r="N251" i="1"/>
  <c r="M251" i="1"/>
  <c r="D251" i="1"/>
  <c r="N250" i="1"/>
  <c r="M250" i="1"/>
  <c r="D250" i="1"/>
  <c r="N249" i="1"/>
  <c r="M249" i="1"/>
  <c r="D249" i="1"/>
  <c r="N248" i="1"/>
  <c r="M248" i="1"/>
  <c r="D248" i="1"/>
  <c r="N247" i="1"/>
  <c r="M247" i="1"/>
  <c r="D247" i="1"/>
  <c r="N246" i="1"/>
  <c r="M246" i="1"/>
  <c r="D246" i="1"/>
  <c r="N245" i="1"/>
  <c r="M245" i="1"/>
  <c r="D245" i="1"/>
  <c r="N244" i="1"/>
  <c r="M244" i="1"/>
  <c r="D244" i="1"/>
  <c r="N243" i="1"/>
  <c r="M243" i="1"/>
  <c r="D243" i="1"/>
  <c r="N242" i="1"/>
  <c r="M242" i="1"/>
  <c r="D242" i="1"/>
  <c r="N241" i="1"/>
  <c r="M241" i="1"/>
  <c r="D241" i="1"/>
  <c r="N240" i="1"/>
  <c r="M240" i="1"/>
  <c r="D240" i="1"/>
  <c r="N239" i="1"/>
  <c r="M239" i="1"/>
  <c r="D239" i="1"/>
  <c r="N238" i="1"/>
  <c r="M238" i="1"/>
  <c r="D238" i="1"/>
  <c r="N237" i="1"/>
  <c r="M237" i="1"/>
  <c r="D237" i="1"/>
  <c r="N236" i="1"/>
  <c r="M236" i="1"/>
  <c r="D236" i="1"/>
  <c r="N235" i="1"/>
  <c r="M235" i="1"/>
  <c r="D235" i="1"/>
  <c r="N234" i="1"/>
  <c r="M234" i="1"/>
  <c r="D234" i="1"/>
  <c r="N233" i="1"/>
  <c r="M233" i="1"/>
  <c r="D233" i="1"/>
  <c r="N232" i="1"/>
  <c r="M232" i="1"/>
  <c r="D232" i="1"/>
  <c r="N231" i="1"/>
  <c r="M231" i="1"/>
  <c r="D231" i="1"/>
  <c r="N230" i="1"/>
  <c r="M230" i="1"/>
  <c r="D230" i="1"/>
  <c r="N229" i="1"/>
  <c r="M229" i="1"/>
  <c r="D229" i="1"/>
  <c r="N228" i="1"/>
  <c r="M228" i="1"/>
  <c r="D228" i="1"/>
  <c r="N227" i="1"/>
  <c r="M227" i="1"/>
  <c r="D227" i="1"/>
  <c r="N226" i="1"/>
  <c r="M226" i="1"/>
  <c r="D226" i="1"/>
  <c r="N225" i="1"/>
  <c r="M225" i="1"/>
  <c r="D225" i="1"/>
  <c r="N224" i="1"/>
  <c r="M224" i="1"/>
  <c r="D224" i="1"/>
  <c r="N223" i="1"/>
  <c r="M223" i="1"/>
  <c r="D223" i="1"/>
  <c r="N222" i="1"/>
  <c r="M222" i="1"/>
  <c r="D222" i="1"/>
  <c r="N221" i="1"/>
  <c r="M221" i="1"/>
  <c r="D221" i="1"/>
  <c r="N220" i="1"/>
  <c r="M220" i="1"/>
  <c r="D220" i="1"/>
  <c r="N219" i="1"/>
  <c r="M219" i="1"/>
  <c r="D219" i="1"/>
  <c r="N218" i="1"/>
  <c r="M218" i="1"/>
  <c r="D218" i="1"/>
  <c r="N217" i="1"/>
  <c r="M217" i="1"/>
  <c r="D217" i="1"/>
  <c r="N216" i="1"/>
  <c r="M216" i="1"/>
  <c r="D216" i="1"/>
  <c r="N215" i="1"/>
  <c r="M215" i="1"/>
  <c r="D215" i="1"/>
  <c r="N214" i="1"/>
  <c r="M214" i="1"/>
  <c r="D214" i="1"/>
  <c r="N213" i="1"/>
  <c r="M213" i="1"/>
  <c r="D213" i="1"/>
  <c r="N212" i="1"/>
  <c r="M212" i="1"/>
  <c r="D212" i="1"/>
  <c r="N211" i="1"/>
  <c r="M211" i="1"/>
  <c r="D211" i="1"/>
  <c r="N210" i="1"/>
  <c r="M210" i="1"/>
  <c r="D210" i="1"/>
  <c r="N209" i="1"/>
  <c r="M209" i="1"/>
  <c r="D209" i="1"/>
  <c r="N208" i="1"/>
  <c r="M208" i="1"/>
  <c r="D208" i="1"/>
  <c r="N207" i="1"/>
  <c r="M207" i="1"/>
  <c r="D207" i="1"/>
  <c r="N206" i="1"/>
  <c r="M206" i="1"/>
  <c r="D206" i="1"/>
  <c r="N205" i="1"/>
  <c r="M205" i="1"/>
  <c r="D205" i="1"/>
  <c r="N204" i="1"/>
  <c r="M204" i="1"/>
  <c r="D204" i="1"/>
  <c r="N203" i="1"/>
  <c r="M203" i="1"/>
  <c r="D203" i="1"/>
  <c r="N202" i="1"/>
  <c r="M202" i="1"/>
  <c r="D202" i="1"/>
  <c r="N201" i="1"/>
  <c r="M201" i="1"/>
  <c r="D201" i="1"/>
  <c r="N200" i="1"/>
  <c r="M200" i="1"/>
  <c r="D200" i="1"/>
  <c r="N199" i="1"/>
  <c r="M199" i="1"/>
  <c r="D199" i="1"/>
  <c r="N198" i="1"/>
  <c r="M198" i="1"/>
  <c r="D198" i="1"/>
  <c r="N197" i="1"/>
  <c r="M197" i="1"/>
  <c r="D197" i="1"/>
  <c r="N196" i="1"/>
  <c r="M196" i="1"/>
  <c r="D196" i="1"/>
  <c r="N195" i="1"/>
  <c r="M195" i="1"/>
  <c r="D195" i="1"/>
  <c r="N194" i="1"/>
  <c r="M194" i="1"/>
  <c r="D194" i="1"/>
  <c r="N193" i="1"/>
  <c r="M193" i="1"/>
  <c r="D193" i="1"/>
  <c r="N192" i="1"/>
  <c r="M192" i="1"/>
  <c r="D192" i="1"/>
  <c r="N191" i="1"/>
  <c r="M191" i="1"/>
  <c r="D191" i="1"/>
  <c r="N190" i="1"/>
  <c r="M190" i="1"/>
  <c r="D190" i="1"/>
  <c r="N189" i="1"/>
  <c r="M189" i="1"/>
  <c r="D189" i="1"/>
  <c r="N188" i="1"/>
  <c r="M188" i="1"/>
  <c r="D188" i="1"/>
  <c r="N187" i="1"/>
  <c r="M187" i="1"/>
  <c r="D187" i="1"/>
  <c r="N186" i="1"/>
  <c r="M186" i="1"/>
  <c r="D186" i="1"/>
  <c r="N185" i="1"/>
  <c r="M185" i="1"/>
  <c r="D185" i="1"/>
  <c r="N184" i="1"/>
  <c r="M184" i="1"/>
  <c r="D184" i="1"/>
  <c r="N183" i="1"/>
  <c r="M183" i="1"/>
  <c r="D183" i="1"/>
  <c r="N182" i="1"/>
  <c r="M182" i="1"/>
  <c r="D182" i="1"/>
  <c r="N181" i="1"/>
  <c r="M181" i="1"/>
  <c r="D181" i="1"/>
  <c r="N180" i="1"/>
  <c r="M180" i="1"/>
  <c r="D180" i="1"/>
  <c r="N179" i="1"/>
  <c r="M179" i="1"/>
  <c r="D179" i="1"/>
  <c r="N178" i="1"/>
  <c r="M178" i="1"/>
  <c r="D178" i="1"/>
  <c r="N177" i="1"/>
  <c r="M177" i="1"/>
  <c r="D177" i="1"/>
  <c r="N176" i="1"/>
  <c r="M176" i="1"/>
  <c r="D176" i="1"/>
  <c r="N175" i="1"/>
  <c r="M175" i="1"/>
  <c r="D175" i="1"/>
  <c r="N174" i="1"/>
  <c r="M174" i="1"/>
  <c r="D174" i="1"/>
  <c r="N173" i="1"/>
  <c r="M173" i="1"/>
  <c r="D173" i="1"/>
  <c r="N172" i="1"/>
  <c r="M172" i="1"/>
  <c r="D172" i="1"/>
  <c r="N171" i="1"/>
  <c r="M171" i="1"/>
  <c r="D171" i="1"/>
  <c r="N170" i="1"/>
  <c r="M170" i="1"/>
  <c r="D170" i="1"/>
  <c r="N169" i="1"/>
  <c r="M169" i="1"/>
  <c r="D169" i="1"/>
  <c r="N168" i="1"/>
  <c r="M168" i="1"/>
  <c r="D168" i="1"/>
  <c r="N167" i="1"/>
  <c r="M167" i="1"/>
  <c r="D167" i="1"/>
  <c r="N166" i="1"/>
  <c r="M166" i="1"/>
  <c r="D166" i="1"/>
  <c r="N165" i="1"/>
  <c r="M165" i="1"/>
  <c r="D165" i="1"/>
  <c r="N164" i="1"/>
  <c r="M164" i="1"/>
  <c r="D164" i="1"/>
  <c r="N163" i="1"/>
  <c r="M163" i="1"/>
  <c r="D163" i="1"/>
  <c r="N162" i="1"/>
  <c r="M162" i="1"/>
  <c r="D162" i="1"/>
  <c r="N161" i="1"/>
  <c r="M161" i="1"/>
  <c r="D161" i="1"/>
  <c r="N160" i="1"/>
  <c r="M160" i="1"/>
  <c r="D160" i="1"/>
  <c r="N159" i="1"/>
  <c r="M159" i="1"/>
  <c r="D159" i="1"/>
  <c r="N158" i="1"/>
  <c r="M158" i="1"/>
  <c r="D158" i="1"/>
  <c r="N157" i="1"/>
  <c r="M157" i="1"/>
  <c r="D157" i="1"/>
  <c r="N156" i="1"/>
  <c r="M156" i="1"/>
  <c r="D156" i="1"/>
  <c r="N155" i="1"/>
  <c r="M155" i="1"/>
  <c r="D155" i="1"/>
  <c r="N154" i="1"/>
  <c r="M154" i="1"/>
  <c r="D154" i="1"/>
  <c r="N153" i="1"/>
  <c r="M153" i="1"/>
  <c r="D153" i="1"/>
  <c r="N152" i="1"/>
  <c r="M152" i="1"/>
  <c r="D152" i="1"/>
  <c r="N151" i="1"/>
  <c r="M151" i="1"/>
  <c r="D151" i="1"/>
  <c r="N150" i="1"/>
  <c r="M150" i="1"/>
  <c r="D150" i="1"/>
  <c r="N149" i="1"/>
  <c r="M149" i="1"/>
  <c r="D149" i="1"/>
  <c r="N148" i="1"/>
  <c r="M148" i="1"/>
  <c r="D148" i="1"/>
  <c r="N147" i="1"/>
  <c r="M147" i="1"/>
  <c r="D147" i="1"/>
  <c r="N146" i="1"/>
  <c r="M146" i="1"/>
  <c r="D146" i="1"/>
  <c r="N145" i="1"/>
  <c r="M145" i="1"/>
  <c r="D145" i="1"/>
  <c r="N144" i="1"/>
  <c r="M144" i="1"/>
  <c r="D144" i="1"/>
  <c r="N143" i="1"/>
  <c r="M143" i="1"/>
  <c r="D143" i="1"/>
  <c r="N142" i="1"/>
  <c r="M142" i="1"/>
  <c r="D142" i="1"/>
  <c r="N141" i="1"/>
  <c r="M141" i="1"/>
  <c r="D141" i="1"/>
  <c r="N140" i="1"/>
  <c r="M140" i="1"/>
  <c r="D140" i="1"/>
  <c r="N139" i="1"/>
  <c r="M139" i="1"/>
  <c r="D139" i="1"/>
  <c r="N138" i="1"/>
  <c r="M138" i="1"/>
  <c r="D138" i="1"/>
  <c r="N137" i="1"/>
  <c r="M137" i="1"/>
  <c r="D137" i="1"/>
  <c r="N136" i="1"/>
  <c r="M136" i="1"/>
  <c r="D136" i="1"/>
  <c r="N135" i="1"/>
  <c r="M135" i="1"/>
  <c r="D135" i="1"/>
  <c r="N134" i="1"/>
  <c r="M134" i="1"/>
  <c r="D134" i="1"/>
  <c r="N133" i="1"/>
  <c r="M133" i="1"/>
  <c r="D133" i="1"/>
  <c r="N132" i="1"/>
  <c r="M132" i="1"/>
  <c r="D132" i="1"/>
  <c r="N131" i="1"/>
  <c r="M131" i="1"/>
  <c r="D131" i="1"/>
  <c r="N130" i="1"/>
  <c r="M130" i="1"/>
  <c r="D130" i="1"/>
  <c r="N129" i="1"/>
  <c r="M129" i="1"/>
  <c r="D129" i="1"/>
  <c r="N128" i="1"/>
  <c r="M128" i="1"/>
  <c r="D128" i="1"/>
  <c r="N127" i="1"/>
  <c r="M127" i="1"/>
  <c r="D127" i="1"/>
  <c r="N126" i="1"/>
  <c r="M126" i="1"/>
  <c r="D126" i="1"/>
  <c r="N125" i="1"/>
  <c r="M125" i="1"/>
  <c r="D125" i="1"/>
  <c r="N124" i="1"/>
  <c r="M124" i="1"/>
  <c r="D124" i="1"/>
  <c r="N123" i="1"/>
  <c r="M123" i="1"/>
  <c r="D123" i="1"/>
  <c r="N122" i="1"/>
  <c r="M122" i="1"/>
  <c r="D122" i="1"/>
  <c r="N121" i="1"/>
  <c r="M121" i="1"/>
  <c r="D121" i="1"/>
  <c r="N120" i="1"/>
  <c r="M120" i="1"/>
  <c r="D120" i="1"/>
  <c r="N119" i="1"/>
  <c r="M119" i="1"/>
  <c r="D119" i="1"/>
  <c r="N118" i="1"/>
  <c r="M118" i="1"/>
  <c r="D118" i="1"/>
  <c r="N117" i="1"/>
  <c r="M117" i="1"/>
  <c r="D117" i="1"/>
  <c r="N116" i="1"/>
  <c r="M116" i="1"/>
  <c r="D116" i="1"/>
  <c r="N115" i="1"/>
  <c r="M115" i="1"/>
  <c r="D115" i="1"/>
  <c r="N114" i="1"/>
  <c r="M114" i="1"/>
  <c r="D114" i="1"/>
  <c r="N113" i="1"/>
  <c r="M113" i="1"/>
  <c r="D113" i="1"/>
  <c r="N112" i="1"/>
  <c r="M112" i="1"/>
  <c r="D112" i="1"/>
  <c r="N111" i="1"/>
  <c r="M111" i="1"/>
  <c r="D111" i="1"/>
  <c r="N110" i="1"/>
  <c r="M110" i="1"/>
  <c r="D110" i="1"/>
  <c r="N109" i="1"/>
  <c r="M109" i="1"/>
  <c r="D109" i="1"/>
  <c r="N108" i="1"/>
  <c r="M108" i="1"/>
  <c r="D108" i="1"/>
  <c r="N107" i="1"/>
  <c r="M107" i="1"/>
  <c r="D107" i="1"/>
  <c r="N106" i="1"/>
  <c r="M106" i="1"/>
  <c r="D106" i="1"/>
  <c r="N105" i="1"/>
  <c r="M105" i="1"/>
  <c r="D105" i="1"/>
  <c r="N104" i="1"/>
  <c r="M104" i="1"/>
  <c r="D104" i="1"/>
  <c r="N103" i="1"/>
  <c r="M103" i="1"/>
  <c r="D103" i="1"/>
  <c r="N102" i="1"/>
  <c r="M102" i="1"/>
  <c r="D102" i="1"/>
  <c r="N101" i="1"/>
  <c r="M101" i="1"/>
  <c r="D101" i="1"/>
  <c r="N100" i="1"/>
  <c r="M100" i="1"/>
  <c r="D100" i="1"/>
  <c r="N99" i="1"/>
  <c r="M99" i="1"/>
  <c r="D99" i="1"/>
  <c r="N98" i="1"/>
  <c r="M98" i="1"/>
  <c r="D98" i="1"/>
  <c r="N97" i="1"/>
  <c r="M97" i="1"/>
  <c r="D97" i="1"/>
  <c r="N96" i="1"/>
  <c r="M96" i="1"/>
  <c r="D96" i="1"/>
  <c r="N95" i="1"/>
  <c r="M95" i="1"/>
  <c r="D95" i="1"/>
  <c r="N94" i="1"/>
  <c r="M94" i="1"/>
  <c r="D94" i="1"/>
  <c r="N93" i="1"/>
  <c r="M93" i="1"/>
  <c r="D93" i="1"/>
  <c r="N92" i="1"/>
  <c r="M92" i="1"/>
  <c r="D92" i="1"/>
  <c r="N91" i="1"/>
  <c r="M91" i="1"/>
  <c r="D91" i="1"/>
  <c r="N90" i="1"/>
  <c r="M90" i="1"/>
  <c r="D90" i="1"/>
  <c r="N89" i="1"/>
  <c r="M89" i="1"/>
  <c r="D89" i="1"/>
  <c r="N88" i="1"/>
  <c r="M88" i="1"/>
  <c r="D88" i="1"/>
  <c r="N87" i="1"/>
  <c r="M87" i="1"/>
  <c r="D87" i="1"/>
  <c r="N86" i="1"/>
  <c r="M86" i="1"/>
  <c r="D86" i="1"/>
  <c r="N85" i="1"/>
  <c r="M85" i="1"/>
  <c r="D85" i="1"/>
  <c r="N84" i="1"/>
  <c r="M84" i="1"/>
  <c r="D84" i="1"/>
  <c r="N83" i="1"/>
  <c r="M83" i="1"/>
  <c r="D83" i="1"/>
  <c r="N82" i="1"/>
  <c r="M82" i="1"/>
  <c r="D82" i="1"/>
  <c r="N81" i="1"/>
  <c r="M81" i="1"/>
  <c r="D81" i="1"/>
  <c r="N80" i="1"/>
  <c r="M80" i="1"/>
  <c r="D80" i="1"/>
  <c r="N79" i="1"/>
  <c r="M79" i="1"/>
  <c r="D79" i="1"/>
  <c r="N78" i="1"/>
  <c r="M78" i="1"/>
  <c r="D78" i="1"/>
  <c r="N77" i="1"/>
  <c r="M77" i="1"/>
  <c r="D77" i="1"/>
  <c r="N76" i="1"/>
  <c r="M76" i="1"/>
  <c r="D76" i="1"/>
  <c r="N75" i="1"/>
  <c r="M75" i="1"/>
  <c r="D75" i="1"/>
  <c r="N74" i="1"/>
  <c r="M74" i="1"/>
  <c r="D74" i="1"/>
  <c r="N73" i="1"/>
  <c r="M73" i="1"/>
  <c r="D73" i="1"/>
  <c r="N72" i="1"/>
  <c r="M72" i="1"/>
  <c r="D72" i="1"/>
  <c r="N71" i="1"/>
  <c r="M71" i="1"/>
  <c r="D71" i="1"/>
  <c r="N70" i="1"/>
  <c r="M70" i="1"/>
  <c r="D70" i="1"/>
  <c r="N69" i="1"/>
  <c r="M69" i="1"/>
  <c r="D69" i="1"/>
  <c r="N68" i="1"/>
  <c r="M68" i="1"/>
  <c r="D68" i="1"/>
  <c r="N67" i="1"/>
  <c r="M67" i="1"/>
  <c r="D67" i="1"/>
  <c r="N66" i="1"/>
  <c r="M66" i="1"/>
  <c r="D66" i="1"/>
  <c r="N65" i="1"/>
  <c r="M65" i="1"/>
  <c r="D65" i="1"/>
  <c r="N64" i="1"/>
  <c r="M64" i="1"/>
  <c r="D64" i="1"/>
  <c r="N63" i="1"/>
  <c r="M63" i="1"/>
  <c r="D63" i="1"/>
  <c r="N62" i="1"/>
  <c r="M62" i="1"/>
  <c r="D62" i="1"/>
  <c r="N61" i="1"/>
  <c r="M61" i="1"/>
  <c r="D61" i="1"/>
  <c r="N60" i="1"/>
  <c r="M60" i="1"/>
  <c r="D60" i="1"/>
  <c r="N59" i="1"/>
  <c r="M59" i="1"/>
  <c r="D59" i="1"/>
  <c r="N58" i="1"/>
  <c r="M58" i="1"/>
  <c r="D58" i="1"/>
  <c r="N57" i="1"/>
  <c r="M57" i="1"/>
  <c r="D57" i="1"/>
  <c r="N56" i="1"/>
  <c r="M56" i="1"/>
  <c r="D56" i="1"/>
  <c r="N55" i="1"/>
  <c r="M55" i="1"/>
  <c r="D55" i="1"/>
  <c r="N54" i="1"/>
  <c r="M54" i="1"/>
  <c r="D54" i="1"/>
  <c r="N53" i="1"/>
  <c r="M53" i="1"/>
  <c r="D53" i="1"/>
  <c r="N52" i="1"/>
  <c r="M52" i="1"/>
  <c r="D52" i="1"/>
  <c r="N51" i="1"/>
  <c r="M51" i="1"/>
  <c r="D51" i="1"/>
  <c r="N50" i="1"/>
  <c r="M50" i="1"/>
  <c r="D50" i="1"/>
  <c r="N49" i="1"/>
  <c r="M49" i="1"/>
  <c r="D49" i="1"/>
  <c r="N48" i="1"/>
  <c r="M48" i="1"/>
  <c r="D48" i="1"/>
  <c r="N47" i="1"/>
  <c r="M47" i="1"/>
  <c r="D47" i="1"/>
  <c r="N46" i="1"/>
  <c r="M46" i="1"/>
  <c r="D46" i="1"/>
  <c r="N45" i="1"/>
  <c r="M45" i="1"/>
  <c r="D45" i="1"/>
  <c r="N44" i="1"/>
  <c r="M44" i="1"/>
  <c r="D44" i="1"/>
  <c r="N43" i="1"/>
  <c r="M43" i="1"/>
  <c r="D43" i="1"/>
  <c r="N42" i="1"/>
  <c r="M42" i="1"/>
  <c r="D42" i="1"/>
  <c r="N41" i="1"/>
  <c r="M41" i="1"/>
  <c r="D41" i="1"/>
  <c r="N40" i="1"/>
  <c r="M40" i="1"/>
  <c r="D40" i="1"/>
  <c r="N39" i="1"/>
  <c r="M39" i="1"/>
  <c r="D39" i="1"/>
  <c r="N38" i="1"/>
  <c r="M38" i="1"/>
  <c r="D38" i="1"/>
  <c r="N37" i="1"/>
  <c r="M37" i="1"/>
  <c r="D37" i="1"/>
  <c r="N36" i="1"/>
  <c r="M36" i="1"/>
  <c r="D36" i="1"/>
  <c r="N35" i="1"/>
  <c r="M35" i="1"/>
  <c r="D35" i="1"/>
  <c r="N34" i="1"/>
  <c r="M34" i="1"/>
  <c r="D34" i="1"/>
  <c r="N33" i="1"/>
  <c r="M33" i="1"/>
  <c r="D33" i="1"/>
  <c r="N32" i="1"/>
  <c r="M32" i="1"/>
  <c r="D32" i="1"/>
  <c r="N31" i="1"/>
  <c r="M31" i="1"/>
  <c r="D31" i="1"/>
  <c r="N30" i="1"/>
  <c r="M30" i="1"/>
  <c r="D30" i="1"/>
  <c r="N29" i="1"/>
  <c r="M29" i="1"/>
  <c r="D29" i="1"/>
  <c r="N28" i="1"/>
  <c r="M28" i="1"/>
  <c r="D28" i="1"/>
  <c r="N27" i="1"/>
  <c r="M27" i="1"/>
  <c r="D27" i="1"/>
  <c r="N26" i="1"/>
  <c r="M26" i="1"/>
  <c r="D26" i="1"/>
  <c r="N25" i="1"/>
  <c r="M25" i="1"/>
  <c r="D25" i="1"/>
  <c r="N24" i="1"/>
  <c r="M24" i="1"/>
  <c r="D24" i="1"/>
  <c r="N23" i="1"/>
  <c r="M23" i="1"/>
  <c r="D23" i="1"/>
  <c r="N22" i="1"/>
  <c r="M22" i="1"/>
  <c r="D22" i="1"/>
  <c r="N21" i="1"/>
  <c r="M21" i="1"/>
  <c r="D21" i="1"/>
  <c r="N20" i="1"/>
  <c r="M20" i="1"/>
  <c r="D20" i="1"/>
  <c r="N19" i="1"/>
  <c r="M19" i="1"/>
  <c r="D19" i="1"/>
  <c r="N18" i="1"/>
  <c r="M18" i="1"/>
  <c r="D18" i="1"/>
  <c r="N17" i="1"/>
  <c r="M17" i="1"/>
  <c r="D17" i="1"/>
  <c r="N16" i="1"/>
  <c r="M16" i="1"/>
  <c r="D16" i="1"/>
  <c r="N15" i="1"/>
  <c r="M15" i="1"/>
  <c r="D15" i="1"/>
  <c r="N14" i="1"/>
  <c r="M14" i="1"/>
  <c r="D14" i="1"/>
  <c r="N13" i="1"/>
  <c r="M13" i="1"/>
  <c r="D13" i="1"/>
  <c r="N12" i="1"/>
  <c r="M12" i="1"/>
  <c r="D12" i="1"/>
  <c r="N11" i="1"/>
  <c r="M11" i="1"/>
  <c r="D11" i="1"/>
  <c r="N10" i="1"/>
  <c r="M10" i="1"/>
  <c r="D10" i="1"/>
  <c r="N9" i="1"/>
  <c r="M9" i="1"/>
  <c r="D9" i="1"/>
  <c r="N8" i="1"/>
  <c r="M8" i="1"/>
  <c r="D8" i="1"/>
  <c r="N7" i="1"/>
  <c r="M7" i="1"/>
  <c r="D7" i="1"/>
  <c r="N6" i="1"/>
  <c r="M6" i="1"/>
  <c r="D6" i="1"/>
  <c r="N5" i="1"/>
  <c r="M5" i="1"/>
  <c r="D5" i="1"/>
  <c r="N4" i="1"/>
  <c r="M4" i="1"/>
  <c r="D4" i="1"/>
  <c r="N3" i="1"/>
  <c r="M3" i="1"/>
  <c r="D3" i="1"/>
  <c r="N2" i="1"/>
  <c r="M2" i="1"/>
  <c r="D2" i="1"/>
</calcChain>
</file>

<file path=xl/sharedStrings.xml><?xml version="1.0" encoding="utf-8"?>
<sst xmlns="http://schemas.openxmlformats.org/spreadsheetml/2006/main" count="2122" uniqueCount="616">
  <si>
    <t>Document ID</t>
  </si>
  <si>
    <t>Verified Expected Pages</t>
  </si>
  <si>
    <t>Received Pages</t>
  </si>
  <si>
    <t>Page Count Match</t>
  </si>
  <si>
    <t>Ground Truth Complete</t>
  </si>
  <si>
    <t>Defect Type</t>
  </si>
  <si>
    <t>Baseline Detected</t>
  </si>
  <si>
    <t>Control Detected</t>
  </si>
  <si>
    <t>Baseline Escaped</t>
  </si>
  <si>
    <t>Control Escaped</t>
  </si>
  <si>
    <t>Baseline Rework Min</t>
  </si>
  <si>
    <t>Control Rework Min</t>
  </si>
  <si>
    <t>Baseline Status</t>
  </si>
  <si>
    <t>Control Status</t>
  </si>
  <si>
    <t>Verification Source</t>
  </si>
  <si>
    <t>Content Check</t>
  </si>
  <si>
    <t>SYN-0001</t>
  </si>
  <si>
    <t>None</t>
  </si>
  <si>
    <t>Synthetic manifest + checklist</t>
  </si>
  <si>
    <t>Verified</t>
  </si>
  <si>
    <t>SYN-0002</t>
  </si>
  <si>
    <t>SYN-0003</t>
  </si>
  <si>
    <t>SYN-0004</t>
  </si>
  <si>
    <t>SYN-0005</t>
  </si>
  <si>
    <t>Content missing / wrong page</t>
  </si>
  <si>
    <t>Mismatch</t>
  </si>
  <si>
    <t>SYN-0006</t>
  </si>
  <si>
    <t>SYN-0007</t>
  </si>
  <si>
    <t>SYN-0008</t>
  </si>
  <si>
    <t>SYN-0009</t>
  </si>
  <si>
    <t>SYN-0010</t>
  </si>
  <si>
    <t>SYN-0011</t>
  </si>
  <si>
    <t>SYN-0012</t>
  </si>
  <si>
    <t>SYN-0013</t>
  </si>
  <si>
    <t>SYN-0014</t>
  </si>
  <si>
    <t>SYN-0015</t>
  </si>
  <si>
    <t>SYN-0016</t>
  </si>
  <si>
    <t>SYN-0017</t>
  </si>
  <si>
    <t>Missing page</t>
  </si>
  <si>
    <t>SYN-0018</t>
  </si>
  <si>
    <t>SYN-0019</t>
  </si>
  <si>
    <t>SYN-0020</t>
  </si>
  <si>
    <t>SYN-0021</t>
  </si>
  <si>
    <t>SYN-0022</t>
  </si>
  <si>
    <t>SYN-0023</t>
  </si>
  <si>
    <t>SYN-0024</t>
  </si>
  <si>
    <t>SYN-0025</t>
  </si>
  <si>
    <t>SYN-0026</t>
  </si>
  <si>
    <t>SYN-0027</t>
  </si>
  <si>
    <t>SYN-0028</t>
  </si>
  <si>
    <t>SYN-0029</t>
  </si>
  <si>
    <t>SYN-0030</t>
  </si>
  <si>
    <t>SYN-0031</t>
  </si>
  <si>
    <t>SYN-0032</t>
  </si>
  <si>
    <t>SYN-0033</t>
  </si>
  <si>
    <t>SYN-0034</t>
  </si>
  <si>
    <t>SYN-0035</t>
  </si>
  <si>
    <t>SYN-0036</t>
  </si>
  <si>
    <t>SYN-0037</t>
  </si>
  <si>
    <t>SYN-0038</t>
  </si>
  <si>
    <t>SYN-0039</t>
  </si>
  <si>
    <t>SYN-0040</t>
  </si>
  <si>
    <t>SYN-0041</t>
  </si>
  <si>
    <t>SYN-0042</t>
  </si>
  <si>
    <t>SYN-0043</t>
  </si>
  <si>
    <t>SYN-0044</t>
  </si>
  <si>
    <t>SYN-0045</t>
  </si>
  <si>
    <t>SYN-0046</t>
  </si>
  <si>
    <t>SYN-0047</t>
  </si>
  <si>
    <t>SYN-0048</t>
  </si>
  <si>
    <t>SYN-0049</t>
  </si>
  <si>
    <t>SYN-0050</t>
  </si>
  <si>
    <t>SYN-0051</t>
  </si>
  <si>
    <t>SYN-0052</t>
  </si>
  <si>
    <t>SYN-0053</t>
  </si>
  <si>
    <t>SYN-0054</t>
  </si>
  <si>
    <t>SYN-0055</t>
  </si>
  <si>
    <t>SYN-0056</t>
  </si>
  <si>
    <t>SYN-0057</t>
  </si>
  <si>
    <t>SYN-0058</t>
  </si>
  <si>
    <t>SYN-0059</t>
  </si>
  <si>
    <t>SYN-0060</t>
  </si>
  <si>
    <t>SYN-0061</t>
  </si>
  <si>
    <t>SYN-0062</t>
  </si>
  <si>
    <t>SYN-0063</t>
  </si>
  <si>
    <t>SYN-0064</t>
  </si>
  <si>
    <t>SYN-0065</t>
  </si>
  <si>
    <t>SYN-0066</t>
  </si>
  <si>
    <t>SYN-0067</t>
  </si>
  <si>
    <t>SYN-0068</t>
  </si>
  <si>
    <t>SYN-0069</t>
  </si>
  <si>
    <t>SYN-0070</t>
  </si>
  <si>
    <t>SYN-0071</t>
  </si>
  <si>
    <t>SYN-0072</t>
  </si>
  <si>
    <t>SYN-0073</t>
  </si>
  <si>
    <t>SYN-0074</t>
  </si>
  <si>
    <t>SYN-0075</t>
  </si>
  <si>
    <t>SYN-0076</t>
  </si>
  <si>
    <t>SYN-0077</t>
  </si>
  <si>
    <t>SYN-0078</t>
  </si>
  <si>
    <t>SYN-0079</t>
  </si>
  <si>
    <t>SYN-0080</t>
  </si>
  <si>
    <t>SYN-0081</t>
  </si>
  <si>
    <t>SYN-0082</t>
  </si>
  <si>
    <t>SYN-0083</t>
  </si>
  <si>
    <t>SYN-0084</t>
  </si>
  <si>
    <t>SYN-0085</t>
  </si>
  <si>
    <t>SYN-0086</t>
  </si>
  <si>
    <t>SYN-0087</t>
  </si>
  <si>
    <t>SYN-0088</t>
  </si>
  <si>
    <t>SYN-0089</t>
  </si>
  <si>
    <t>SYN-0090</t>
  </si>
  <si>
    <t>SYN-0091</t>
  </si>
  <si>
    <t>SYN-0092</t>
  </si>
  <si>
    <t>SYN-0093</t>
  </si>
  <si>
    <t>SYN-0094</t>
  </si>
  <si>
    <t>SYN-0095</t>
  </si>
  <si>
    <t>SYN-0096</t>
  </si>
  <si>
    <t>SYN-0097</t>
  </si>
  <si>
    <t>SYN-0098</t>
  </si>
  <si>
    <t>SYN-0099</t>
  </si>
  <si>
    <t>SYN-0100</t>
  </si>
  <si>
    <t>SYN-0101</t>
  </si>
  <si>
    <t>SYN-0102</t>
  </si>
  <si>
    <t>SYN-0103</t>
  </si>
  <si>
    <t>SYN-0104</t>
  </si>
  <si>
    <t>SYN-0105</t>
  </si>
  <si>
    <t>SYN-0106</t>
  </si>
  <si>
    <t>SYN-0107</t>
  </si>
  <si>
    <t>SYN-0108</t>
  </si>
  <si>
    <t>SYN-0109</t>
  </si>
  <si>
    <t>SYN-0110</t>
  </si>
  <si>
    <t>SYN-0111</t>
  </si>
  <si>
    <t>SYN-0112</t>
  </si>
  <si>
    <t>SYN-0113</t>
  </si>
  <si>
    <t>SYN-0114</t>
  </si>
  <si>
    <t>SYN-0115</t>
  </si>
  <si>
    <t>SYN-0116</t>
  </si>
  <si>
    <t>SYN-0117</t>
  </si>
  <si>
    <t>SYN-0118</t>
  </si>
  <si>
    <t>SYN-0119</t>
  </si>
  <si>
    <t>SYN-0120</t>
  </si>
  <si>
    <t>SYN-0121</t>
  </si>
  <si>
    <t>SYN-0122</t>
  </si>
  <si>
    <t>SYN-0123</t>
  </si>
  <si>
    <t>SYN-0124</t>
  </si>
  <si>
    <t>SYN-0125</t>
  </si>
  <si>
    <t>SYN-0126</t>
  </si>
  <si>
    <t>SYN-0127</t>
  </si>
  <si>
    <t>SYN-0128</t>
  </si>
  <si>
    <t>SYN-0129</t>
  </si>
  <si>
    <t>SYN-0130</t>
  </si>
  <si>
    <t>SYN-0131</t>
  </si>
  <si>
    <t>SYN-0132</t>
  </si>
  <si>
    <t>SYN-0133</t>
  </si>
  <si>
    <t>SYN-0134</t>
  </si>
  <si>
    <t>SYN-0135</t>
  </si>
  <si>
    <t>SYN-0136</t>
  </si>
  <si>
    <t>SYN-0137</t>
  </si>
  <si>
    <t>SYN-0138</t>
  </si>
  <si>
    <t>SYN-0139</t>
  </si>
  <si>
    <t>SYN-0140</t>
  </si>
  <si>
    <t>SYN-0141</t>
  </si>
  <si>
    <t>SYN-0142</t>
  </si>
  <si>
    <t>SYN-0143</t>
  </si>
  <si>
    <t>SYN-0144</t>
  </si>
  <si>
    <t>SYN-0145</t>
  </si>
  <si>
    <t>SYN-0146</t>
  </si>
  <si>
    <t>SYN-0147</t>
  </si>
  <si>
    <t>SYN-0148</t>
  </si>
  <si>
    <t>SYN-0149</t>
  </si>
  <si>
    <t>SYN-0150</t>
  </si>
  <si>
    <t>SYN-0151</t>
  </si>
  <si>
    <t>SYN-0152</t>
  </si>
  <si>
    <t>SYN-0153</t>
  </si>
  <si>
    <t>SYN-0154</t>
  </si>
  <si>
    <t>SYN-0155</t>
  </si>
  <si>
    <t>SYN-0156</t>
  </si>
  <si>
    <t>SYN-0157</t>
  </si>
  <si>
    <t>SYN-0158</t>
  </si>
  <si>
    <t>SYN-0159</t>
  </si>
  <si>
    <t>SYN-0160</t>
  </si>
  <si>
    <t>SYN-0161</t>
  </si>
  <si>
    <t>SYN-0162</t>
  </si>
  <si>
    <t>SYN-0163</t>
  </si>
  <si>
    <t>SYN-0164</t>
  </si>
  <si>
    <t>SYN-0165</t>
  </si>
  <si>
    <t>SYN-0166</t>
  </si>
  <si>
    <t>SYN-0167</t>
  </si>
  <si>
    <t>SYN-0168</t>
  </si>
  <si>
    <t>SYN-0169</t>
  </si>
  <si>
    <t>SYN-0170</t>
  </si>
  <si>
    <t>SYN-0171</t>
  </si>
  <si>
    <t>SYN-0172</t>
  </si>
  <si>
    <t>SYN-0173</t>
  </si>
  <si>
    <t>SYN-0174</t>
  </si>
  <si>
    <t>SYN-0175</t>
  </si>
  <si>
    <t>SYN-0176</t>
  </si>
  <si>
    <t>SYN-0177</t>
  </si>
  <si>
    <t>SYN-0178</t>
  </si>
  <si>
    <t>SYN-0179</t>
  </si>
  <si>
    <t>SYN-0180</t>
  </si>
  <si>
    <t>SYN-0181</t>
  </si>
  <si>
    <t>SYN-0182</t>
  </si>
  <si>
    <t>SYN-0183</t>
  </si>
  <si>
    <t>SYN-0184</t>
  </si>
  <si>
    <t>SYN-0185</t>
  </si>
  <si>
    <t>SYN-0186</t>
  </si>
  <si>
    <t>SYN-0187</t>
  </si>
  <si>
    <t>SYN-0188</t>
  </si>
  <si>
    <t>SYN-0189</t>
  </si>
  <si>
    <t>SYN-0190</t>
  </si>
  <si>
    <t>SYN-0191</t>
  </si>
  <si>
    <t>SYN-0192</t>
  </si>
  <si>
    <t>SYN-0193</t>
  </si>
  <si>
    <t>SYN-0194</t>
  </si>
  <si>
    <t>SYN-0195</t>
  </si>
  <si>
    <t>SYN-0196</t>
  </si>
  <si>
    <t>SYN-0197</t>
  </si>
  <si>
    <t>SYN-0198</t>
  </si>
  <si>
    <t>SYN-0199</t>
  </si>
  <si>
    <t>SYN-0200</t>
  </si>
  <si>
    <t>SYN-0201</t>
  </si>
  <si>
    <t>SYN-0202</t>
  </si>
  <si>
    <t>SYN-0203</t>
  </si>
  <si>
    <t>SYN-0204</t>
  </si>
  <si>
    <t>SYN-0205</t>
  </si>
  <si>
    <t>SYN-0206</t>
  </si>
  <si>
    <t>SYN-0207</t>
  </si>
  <si>
    <t>SYN-0208</t>
  </si>
  <si>
    <t>SYN-0209</t>
  </si>
  <si>
    <t>SYN-0210</t>
  </si>
  <si>
    <t>SYN-0211</t>
  </si>
  <si>
    <t>SYN-0212</t>
  </si>
  <si>
    <t>SYN-0213</t>
  </si>
  <si>
    <t>SYN-0214</t>
  </si>
  <si>
    <t>SYN-0215</t>
  </si>
  <si>
    <t>SYN-0216</t>
  </si>
  <si>
    <t>SYN-0217</t>
  </si>
  <si>
    <t>SYN-0218</t>
  </si>
  <si>
    <t>SYN-0219</t>
  </si>
  <si>
    <t>SYN-0220</t>
  </si>
  <si>
    <t>SYN-0221</t>
  </si>
  <si>
    <t>SYN-0222</t>
  </si>
  <si>
    <t>SYN-0223</t>
  </si>
  <si>
    <t>SYN-0224</t>
  </si>
  <si>
    <t>SYN-0225</t>
  </si>
  <si>
    <t>SYN-0226</t>
  </si>
  <si>
    <t>SYN-0227</t>
  </si>
  <si>
    <t>SYN-0228</t>
  </si>
  <si>
    <t>SYN-0229</t>
  </si>
  <si>
    <t>SYN-0230</t>
  </si>
  <si>
    <t>SYN-0231</t>
  </si>
  <si>
    <t>SYN-0232</t>
  </si>
  <si>
    <t>SYN-0233</t>
  </si>
  <si>
    <t>SYN-0234</t>
  </si>
  <si>
    <t>SYN-0235</t>
  </si>
  <si>
    <t>SYN-0236</t>
  </si>
  <si>
    <t>SYN-0237</t>
  </si>
  <si>
    <t>SYN-0238</t>
  </si>
  <si>
    <t>SYN-0239</t>
  </si>
  <si>
    <t>SYN-0240</t>
  </si>
  <si>
    <t>SYN-0241</t>
  </si>
  <si>
    <t>SYN-0242</t>
  </si>
  <si>
    <t>SYN-0243</t>
  </si>
  <si>
    <t>SYN-0244</t>
  </si>
  <si>
    <t>SYN-0245</t>
  </si>
  <si>
    <t>SYN-0246</t>
  </si>
  <si>
    <t>SYN-0247</t>
  </si>
  <si>
    <t>SYN-0248</t>
  </si>
  <si>
    <t>SYN-0249</t>
  </si>
  <si>
    <t>SYN-0250</t>
  </si>
  <si>
    <t>SYN-0251</t>
  </si>
  <si>
    <t>SYN-0252</t>
  </si>
  <si>
    <t>SYN-0253</t>
  </si>
  <si>
    <t>SYN-0254</t>
  </si>
  <si>
    <t>SYN-0255</t>
  </si>
  <si>
    <t>SYN-0256</t>
  </si>
  <si>
    <t>SYN-0257</t>
  </si>
  <si>
    <t>SYN-0258</t>
  </si>
  <si>
    <t>SYN-0259</t>
  </si>
  <si>
    <t>SYN-0260</t>
  </si>
  <si>
    <t>SYN-0261</t>
  </si>
  <si>
    <t>SYN-0262</t>
  </si>
  <si>
    <t>SYN-0263</t>
  </si>
  <si>
    <t>SYN-0264</t>
  </si>
  <si>
    <t>SYN-0265</t>
  </si>
  <si>
    <t>SYN-0266</t>
  </si>
  <si>
    <t>SYN-0267</t>
  </si>
  <si>
    <t>SYN-0268</t>
  </si>
  <si>
    <t>SYN-0269</t>
  </si>
  <si>
    <t>SYN-0270</t>
  </si>
  <si>
    <t>SYN-0271</t>
  </si>
  <si>
    <t>SYN-0272</t>
  </si>
  <si>
    <t>SYN-0273</t>
  </si>
  <si>
    <t>SYN-0274</t>
  </si>
  <si>
    <t>SYN-0275</t>
  </si>
  <si>
    <t>SYN-0276</t>
  </si>
  <si>
    <t>SYN-0277</t>
  </si>
  <si>
    <t>SYN-0278</t>
  </si>
  <si>
    <t>SYN-0279</t>
  </si>
  <si>
    <t>SYN-0280</t>
  </si>
  <si>
    <t>SYN-0281</t>
  </si>
  <si>
    <t>SYN-0282</t>
  </si>
  <si>
    <t>SYN-0283</t>
  </si>
  <si>
    <t>SYN-0284</t>
  </si>
  <si>
    <t>SYN-0285</t>
  </si>
  <si>
    <t>SYN-0286</t>
  </si>
  <si>
    <t>SYN-0287</t>
  </si>
  <si>
    <t>SYN-0288</t>
  </si>
  <si>
    <t>SYN-0289</t>
  </si>
  <si>
    <t>SYN-0290</t>
  </si>
  <si>
    <t>SYN-0291</t>
  </si>
  <si>
    <t>SYN-0292</t>
  </si>
  <si>
    <t>SYN-0293</t>
  </si>
  <si>
    <t>SYN-0294</t>
  </si>
  <si>
    <t>SYN-0295</t>
  </si>
  <si>
    <t>SYN-0296</t>
  </si>
  <si>
    <t>SYN-0297</t>
  </si>
  <si>
    <t>SYN-0298</t>
  </si>
  <si>
    <t>SYN-0299</t>
  </si>
  <si>
    <t>SYN-0300</t>
  </si>
  <si>
    <t>SYN-0301</t>
  </si>
  <si>
    <t>SYN-0302</t>
  </si>
  <si>
    <t>SYN-0303</t>
  </si>
  <si>
    <t>SYN-0304</t>
  </si>
  <si>
    <t>SYN-0305</t>
  </si>
  <si>
    <t>SYN-0306</t>
  </si>
  <si>
    <t>SYN-0307</t>
  </si>
  <si>
    <t>SYN-0308</t>
  </si>
  <si>
    <t>SYN-0309</t>
  </si>
  <si>
    <t>SYN-0310</t>
  </si>
  <si>
    <t>SYN-0311</t>
  </si>
  <si>
    <t>SYN-0312</t>
  </si>
  <si>
    <t>SYN-0313</t>
  </si>
  <si>
    <t>SYN-0314</t>
  </si>
  <si>
    <t>SYN-0315</t>
  </si>
  <si>
    <t>SYN-0316</t>
  </si>
  <si>
    <t>SYN-0317</t>
  </si>
  <si>
    <t>SYN-0318</t>
  </si>
  <si>
    <t>SYN-0319</t>
  </si>
  <si>
    <t>SYN-0320</t>
  </si>
  <si>
    <t>SYN-0321</t>
  </si>
  <si>
    <t>SYN-0322</t>
  </si>
  <si>
    <t>SYN-0323</t>
  </si>
  <si>
    <t>SYN-0324</t>
  </si>
  <si>
    <t>SYN-0325</t>
  </si>
  <si>
    <t>SYN-0326</t>
  </si>
  <si>
    <t>SYN-0327</t>
  </si>
  <si>
    <t>SYN-0328</t>
  </si>
  <si>
    <t>SYN-0329</t>
  </si>
  <si>
    <t>SYN-0330</t>
  </si>
  <si>
    <t>SYN-0331</t>
  </si>
  <si>
    <t>SYN-0332</t>
  </si>
  <si>
    <t>SYN-0333</t>
  </si>
  <si>
    <t>SYN-0334</t>
  </si>
  <si>
    <t>SYN-0335</t>
  </si>
  <si>
    <t>SYN-0336</t>
  </si>
  <si>
    <t>SYN-0337</t>
  </si>
  <si>
    <t>SYN-0338</t>
  </si>
  <si>
    <t>SYN-0339</t>
  </si>
  <si>
    <t>SYN-0340</t>
  </si>
  <si>
    <t>SYN-0341</t>
  </si>
  <si>
    <t>SYN-0342</t>
  </si>
  <si>
    <t>SYN-0343</t>
  </si>
  <si>
    <t>SYN-0344</t>
  </si>
  <si>
    <t>SYN-0345</t>
  </si>
  <si>
    <t>SYN-0346</t>
  </si>
  <si>
    <t>SYN-0347</t>
  </si>
  <si>
    <t>SYN-0348</t>
  </si>
  <si>
    <t>SYN-0349</t>
  </si>
  <si>
    <t>SYN-0350</t>
  </si>
  <si>
    <t>SYN-0351</t>
  </si>
  <si>
    <t>SYN-0352</t>
  </si>
  <si>
    <t>SYN-0353</t>
  </si>
  <si>
    <t>SYN-0354</t>
  </si>
  <si>
    <t>SYN-0355</t>
  </si>
  <si>
    <t>SYN-0356</t>
  </si>
  <si>
    <t>SYN-0357</t>
  </si>
  <si>
    <t>SYN-0358</t>
  </si>
  <si>
    <t>SYN-0359</t>
  </si>
  <si>
    <t>SYN-0360</t>
  </si>
  <si>
    <t>SYN-0361</t>
  </si>
  <si>
    <t>SYN-0362</t>
  </si>
  <si>
    <t>SYN-0363</t>
  </si>
  <si>
    <t>SYN-0364</t>
  </si>
  <si>
    <t>SYN-0365</t>
  </si>
  <si>
    <t>SYN-0366</t>
  </si>
  <si>
    <t>SYN-0367</t>
  </si>
  <si>
    <t>SYN-0368</t>
  </si>
  <si>
    <t>SYN-0369</t>
  </si>
  <si>
    <t>SYN-0370</t>
  </si>
  <si>
    <t>SYN-0371</t>
  </si>
  <si>
    <t>SYN-0372</t>
  </si>
  <si>
    <t>SYN-0373</t>
  </si>
  <si>
    <t>SYN-0374</t>
  </si>
  <si>
    <t>SYN-0375</t>
  </si>
  <si>
    <t>SYN-0376</t>
  </si>
  <si>
    <t>SYN-0377</t>
  </si>
  <si>
    <t>SYN-0378</t>
  </si>
  <si>
    <t>SYN-0379</t>
  </si>
  <si>
    <t>SYN-0380</t>
  </si>
  <si>
    <t>SYN-0381</t>
  </si>
  <si>
    <t>SYN-0382</t>
  </si>
  <si>
    <t>SYN-0383</t>
  </si>
  <si>
    <t>SYN-0384</t>
  </si>
  <si>
    <t>SYN-0385</t>
  </si>
  <si>
    <t>SYN-0386</t>
  </si>
  <si>
    <t>SYN-0387</t>
  </si>
  <si>
    <t>SYN-0388</t>
  </si>
  <si>
    <t>SYN-0389</t>
  </si>
  <si>
    <t>SYN-0390</t>
  </si>
  <si>
    <t>SYN-0391</t>
  </si>
  <si>
    <t>SYN-0392</t>
  </si>
  <si>
    <t>SYN-0393</t>
  </si>
  <si>
    <t>SYN-0394</t>
  </si>
  <si>
    <t>SYN-0395</t>
  </si>
  <si>
    <t>SYN-0396</t>
  </si>
  <si>
    <t>SYN-0397</t>
  </si>
  <si>
    <t>SYN-0398</t>
  </si>
  <si>
    <t>SYN-0399</t>
  </si>
  <si>
    <t>SYN-0400</t>
  </si>
  <si>
    <t>SYN-0401</t>
  </si>
  <si>
    <t>SYN-0402</t>
  </si>
  <si>
    <t>SYN-0403</t>
  </si>
  <si>
    <t>SYN-0404</t>
  </si>
  <si>
    <t>SYN-0405</t>
  </si>
  <si>
    <t>SYN-0406</t>
  </si>
  <si>
    <t>SYN-0407</t>
  </si>
  <si>
    <t>SYN-0408</t>
  </si>
  <si>
    <t>SYN-0409</t>
  </si>
  <si>
    <t>SYN-0410</t>
  </si>
  <si>
    <t>SYN-0411</t>
  </si>
  <si>
    <t>SYN-0412</t>
  </si>
  <si>
    <t>SYN-0413</t>
  </si>
  <si>
    <t>SYN-0414</t>
  </si>
  <si>
    <t>SYN-0415</t>
  </si>
  <si>
    <t>SYN-0416</t>
  </si>
  <si>
    <t>SYN-0417</t>
  </si>
  <si>
    <t>SYN-0418</t>
  </si>
  <si>
    <t>SYN-0419</t>
  </si>
  <si>
    <t>SYN-0420</t>
  </si>
  <si>
    <t>SYN-0421</t>
  </si>
  <si>
    <t>SYN-0422</t>
  </si>
  <si>
    <t>SYN-0423</t>
  </si>
  <si>
    <t>SYN-0424</t>
  </si>
  <si>
    <t>SYN-0425</t>
  </si>
  <si>
    <t>SYN-0426</t>
  </si>
  <si>
    <t>SYN-0427</t>
  </si>
  <si>
    <t>SYN-0428</t>
  </si>
  <si>
    <t>SYN-0429</t>
  </si>
  <si>
    <t>SYN-0430</t>
  </si>
  <si>
    <t>SYN-0431</t>
  </si>
  <si>
    <t>SYN-0432</t>
  </si>
  <si>
    <t>SYN-0433</t>
  </si>
  <si>
    <t>SYN-0434</t>
  </si>
  <si>
    <t>SYN-0435</t>
  </si>
  <si>
    <t>SYN-0436</t>
  </si>
  <si>
    <t>SYN-0437</t>
  </si>
  <si>
    <t>SYN-0438</t>
  </si>
  <si>
    <t>SYN-0439</t>
  </si>
  <si>
    <t>SYN-0440</t>
  </si>
  <si>
    <t>SYN-0441</t>
  </si>
  <si>
    <t>SYN-0442</t>
  </si>
  <si>
    <t>SYN-0443</t>
  </si>
  <si>
    <t>SYN-0444</t>
  </si>
  <si>
    <t>SYN-0445</t>
  </si>
  <si>
    <t>SYN-0446</t>
  </si>
  <si>
    <t>SYN-0447</t>
  </si>
  <si>
    <t>SYN-0448</t>
  </si>
  <si>
    <t>SYN-0449</t>
  </si>
  <si>
    <t>SYN-0450</t>
  </si>
  <si>
    <t>SYN-0451</t>
  </si>
  <si>
    <t>SYN-0452</t>
  </si>
  <si>
    <t>SYN-0453</t>
  </si>
  <si>
    <t>SYN-0454</t>
  </si>
  <si>
    <t>SYN-0455</t>
  </si>
  <si>
    <t>SYN-0456</t>
  </si>
  <si>
    <t>SYN-0457</t>
  </si>
  <si>
    <t>SYN-0458</t>
  </si>
  <si>
    <t>SYN-0459</t>
  </si>
  <si>
    <t>SYN-0460</t>
  </si>
  <si>
    <t>SYN-0461</t>
  </si>
  <si>
    <t>SYN-0462</t>
  </si>
  <si>
    <t>SYN-0463</t>
  </si>
  <si>
    <t>SYN-0464</t>
  </si>
  <si>
    <t>SYN-0465</t>
  </si>
  <si>
    <t>SYN-0466</t>
  </si>
  <si>
    <t>SYN-0467</t>
  </si>
  <si>
    <t>SYN-0468</t>
  </si>
  <si>
    <t>SYN-0469</t>
  </si>
  <si>
    <t>SYN-0470</t>
  </si>
  <si>
    <t>SYN-0471</t>
  </si>
  <si>
    <t>SYN-0472</t>
  </si>
  <si>
    <t>SYN-0473</t>
  </si>
  <si>
    <t>SYN-0474</t>
  </si>
  <si>
    <t>SYN-0475</t>
  </si>
  <si>
    <t>SYN-0476</t>
  </si>
  <si>
    <t>SYN-0477</t>
  </si>
  <si>
    <t>SYN-0478</t>
  </si>
  <si>
    <t>SYN-0479</t>
  </si>
  <si>
    <t>SYN-0480</t>
  </si>
  <si>
    <t>SYN-0481</t>
  </si>
  <si>
    <t>SYN-0482</t>
  </si>
  <si>
    <t>SYN-0483</t>
  </si>
  <si>
    <t>SYN-0484</t>
  </si>
  <si>
    <t>SYN-0485</t>
  </si>
  <si>
    <t>SYN-0486</t>
  </si>
  <si>
    <t>SYN-0487</t>
  </si>
  <si>
    <t>SYN-0488</t>
  </si>
  <si>
    <t>SYN-0489</t>
  </si>
  <si>
    <t>SYN-0490</t>
  </si>
  <si>
    <t>SYN-0491</t>
  </si>
  <si>
    <t>SYN-0492</t>
  </si>
  <si>
    <t>SYN-0493</t>
  </si>
  <si>
    <t>SYN-0494</t>
  </si>
  <si>
    <t>SYN-0495</t>
  </si>
  <si>
    <t>SYN-0496</t>
  </si>
  <si>
    <t>SYN-0497</t>
  </si>
  <si>
    <t>SYN-0498</t>
  </si>
  <si>
    <t>SYN-0499</t>
  </si>
  <si>
    <t>SYN-0500</t>
  </si>
  <si>
    <t>CASE STUDY 01 | DOCUMENT COMPLETENESS</t>
  </si>
  <si>
    <t>Measure</t>
  </si>
  <si>
    <t>Baseline</t>
  </si>
  <si>
    <t>Proposed Control</t>
  </si>
  <si>
    <t>Validation</t>
  </si>
  <si>
    <t>Documents</t>
  </si>
  <si>
    <t>Incomplete documents</t>
  </si>
  <si>
    <t>Detected defects</t>
  </si>
  <si>
    <t>Escaped defects</t>
  </si>
  <si>
    <t>Detection rate</t>
  </si>
  <si>
    <t>Escape rate</t>
  </si>
  <si>
    <t>Escaped rework hours</t>
  </si>
  <si>
    <t>Defect rate</t>
  </si>
  <si>
    <t>First-pass completeness</t>
  </si>
  <si>
    <t>Avoided downstream hours</t>
  </si>
  <si>
    <t>INTERPRETATION</t>
  </si>
  <si>
    <t>Paired synthetic counterfactual; not measured effectiveness</t>
  </si>
  <si>
    <t>CAUTION</t>
  </si>
  <si>
    <t>Avoided downstream rework is not net labor savings</t>
  </si>
  <si>
    <t>Expected</t>
  </si>
  <si>
    <t>Received</t>
  </si>
  <si>
    <t>Control ID</t>
  </si>
  <si>
    <t>Stage</t>
  </si>
  <si>
    <t>Verification / decision</t>
  </si>
  <si>
    <t>Fail / exception pathway</t>
  </si>
  <si>
    <t>Audit evidence</t>
  </si>
  <si>
    <t>C01</t>
  </si>
  <si>
    <t>Receipt</t>
  </si>
  <si>
    <t>Confirm verified expected count from source manifest</t>
  </si>
  <si>
    <t>Hold; request authoritative count</t>
  </si>
  <si>
    <t>Source ID, timestamp</t>
  </si>
  <si>
    <t>C02</t>
  </si>
  <si>
    <t>Capture</t>
  </si>
  <si>
    <t>Compare actual pages to verified expected count</t>
  </si>
  <si>
    <t>Hold; rescan / request missing pages</t>
  </si>
  <si>
    <t>Page counts and result</t>
  </si>
  <si>
    <t>C03</t>
  </si>
  <si>
    <t>Content</t>
  </si>
  <si>
    <t>Check page sequence, identity, legibility and required content</t>
  </si>
  <si>
    <t>Hold for human review; page match alone insufficient</t>
  </si>
  <si>
    <t>Reviewer and finding</t>
  </si>
  <si>
    <t>C04</t>
  </si>
  <si>
    <t>Indexing</t>
  </si>
  <si>
    <t>Only release when all checks pass</t>
  </si>
  <si>
    <t>Prevent completion; assign owner</t>
  </si>
  <si>
    <t>Release decision</t>
  </si>
  <si>
    <t>C05</t>
  </si>
  <si>
    <t>Resolution</t>
  </si>
  <si>
    <t>Correct document and repeat checks</t>
  </si>
  <si>
    <t>Escalate unresolved exception</t>
  </si>
  <si>
    <t>Action, owner, resolution time</t>
  </si>
  <si>
    <t>MODEL / DATA DICTIONARY</t>
  </si>
  <si>
    <t>Value</t>
  </si>
  <si>
    <t>Interpretation</t>
  </si>
  <si>
    <t>Project classification</t>
  </si>
  <si>
    <t>Not a real EHR export</t>
  </si>
  <si>
    <t>Observation unit</t>
  </si>
  <si>
    <t>One synthetic document</t>
  </si>
  <si>
    <t>500 identical IDs across both scenarios</t>
  </si>
  <si>
    <t>Counterfactual</t>
  </si>
  <si>
    <t>Same underlying defects</t>
  </si>
  <si>
    <t>Only detection outcome changes</t>
  </si>
  <si>
    <t>Ground truth</t>
  </si>
  <si>
    <t>Defect Type / Ground Truth Complete</t>
  </si>
  <si>
    <t>Not inferred solely from page-count match</t>
  </si>
  <si>
    <t>Expected-page evidence</t>
  </si>
  <si>
    <t>Assumed verified source</t>
  </si>
  <si>
    <t>Rework minutes per escaped defect</t>
  </si>
  <si>
    <t>Illustrative assumption; excludes checkpoint costs</t>
  </si>
  <si>
    <t>Detection allocation</t>
  </si>
  <si>
    <t>25 baseline / 38 proposed</t>
  </si>
  <si>
    <t>Proposed group includes all baseline detections</t>
  </si>
  <si>
    <t>Defect escape</t>
  </si>
  <si>
    <t>Incomplete AND not detected</t>
  </si>
  <si>
    <t>Escaped count, not necessarily clinical harm</t>
  </si>
  <si>
    <t>Detected / incomplete</t>
  </si>
  <si>
    <t>Denominator is 40 defects</t>
  </si>
  <si>
    <t>Escaped / incomplete</t>
  </si>
  <si>
    <t>Complement of detection</t>
  </si>
  <si>
    <t>Rework hours</t>
  </si>
  <si>
    <t>Escaped * 20 / 60</t>
  </si>
  <si>
    <t>Downstream only, not net savings</t>
  </si>
  <si>
    <t>Complete / all documents</t>
  </si>
  <si>
    <t>Not equal to detection rate</t>
  </si>
  <si>
    <t>Limitations</t>
  </si>
  <si>
    <t>No patient, payer, clinical or facility records</t>
  </si>
  <si>
    <t>No validated intervention effect</t>
  </si>
  <si>
    <t>Reference</t>
  </si>
  <si>
    <t>AHIMA Document Management and Imaging Toolkit</t>
  </si>
  <si>
    <t>https://www.ahima.org/media/4y1buocf/document-management-and-imaging-toolkit_axs.pdf</t>
  </si>
  <si>
    <t>Created by</t>
  </si>
  <si>
    <t>Kori Pickle | BSHA Candidate</t>
  </si>
  <si>
    <t>Healthcare Operations Intelligence Engine™</t>
  </si>
  <si>
    <t>Student-developed; simulated; educational; no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</si>
</sst>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name val="Carlito"/>
    </font>
    <font>
      <b/>
      <sz val="11"/>
      <color rgb="FF000000"/>
      <name val="Aptos"/>
    </font>
    <font>
      <sz val="11"/>
      <color rgb="FF000000"/>
      <name val="Aptos"/>
    </font>
    <font>
      <b/>
      <sz val="11"/>
      <color rgb="FFFFFFFF"/>
      <name val="Aptos Display"/>
    </font>
    <font>
      <b/>
      <sz val="11"/>
      <color rgb="FF000000"/>
      <name val="Aptos Display"/>
    </font>
    <font>
      <b/>
      <sz val="13"/>
      <color rgb="FF000000"/>
      <name val="Aptos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FF8200"/>
      </patternFill>
    </fill>
    <fill>
      <patternFill patternType="solid">
        <fgColor rgb="FFFFFFFF"/>
      </patternFill>
    </fill>
    <fill>
      <patternFill patternType="solid">
        <fgColor rgb="FFFF82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NumberFormat="1" applyFont="1" applyFill="1" applyBorder="1"/>
    <xf numFmtId="0" fontId="3" fillId="3" borderId="1" xfId="0" applyNumberFormat="1" applyFont="1" applyFill="1" applyBorder="1" applyAlignment="1">
      <alignment wrapText="1"/>
    </xf>
    <xf numFmtId="0" fontId="3" fillId="3" borderId="0" xfId="0" applyNumberFormat="1" applyFont="1" applyFill="1" applyBorder="1"/>
    <xf numFmtId="0" fontId="2" fillId="2" borderId="2" xfId="0" applyNumberFormat="1" applyFont="1" applyFill="1" applyBorder="1"/>
    <xf numFmtId="0" fontId="4" fillId="4" borderId="0" xfId="0" applyNumberFormat="1" applyFont="1" applyFill="1" applyBorder="1"/>
    <xf numFmtId="0" fontId="2" fillId="5" borderId="2" xfId="0" applyNumberFormat="1" applyFont="1" applyFill="1" applyBorder="1"/>
    <xf numFmtId="0" fontId="2" fillId="5" borderId="0" xfId="0" applyNumberFormat="1" applyFont="1" applyFill="1" applyBorder="1"/>
    <xf numFmtId="0" fontId="5" fillId="6" borderId="0" xfId="0" applyNumberFormat="1" applyFont="1" applyFill="1" applyBorder="1" applyAlignment="1">
      <alignment wrapText="1"/>
    </xf>
    <xf numFmtId="0" fontId="2" fillId="5" borderId="3" xfId="0" applyNumberFormat="1" applyFont="1" applyFill="1" applyBorder="1"/>
    <xf numFmtId="164" fontId="2" fillId="5" borderId="0" xfId="0" applyNumberFormat="1" applyFont="1" applyFill="1" applyBorder="1"/>
    <xf numFmtId="2" fontId="2" fillId="5" borderId="0" xfId="0" applyNumberFormat="1" applyFont="1" applyFill="1" applyBorder="1"/>
    <xf numFmtId="0" fontId="5" fillId="6" borderId="0" xfId="0" applyNumberFormat="1" applyFont="1" applyFill="1" applyBorder="1"/>
    <xf numFmtId="0" fontId="1" fillId="6" borderId="2" xfId="0" applyNumberFormat="1" applyFont="1" applyFill="1" applyBorder="1"/>
    <xf numFmtId="2" fontId="2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'02 KPI Dashboard'!$A$6:$A$7</c:f>
              <c:strCache>
                <c:ptCount val="2"/>
                <c:pt idx="0">
                  <c:v>Detected defects</c:v>
                </c:pt>
                <c:pt idx="1">
                  <c:v>Escaped defects</c:v>
                </c:pt>
              </c:strCache>
            </c:strRef>
          </c:cat>
          <c:val>
            <c:numRef>
              <c:f>'02 KPI Dashboard'!$B$6:$B$7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5-264C-A209-840A3E951DEC}"/>
            </c:ext>
          </c:extLst>
        </c:ser>
        <c:ser>
          <c:idx val="1"/>
          <c:order val="1"/>
          <c:tx>
            <c:v>Proposed Control</c:v>
          </c:tx>
          <c:invertIfNegative val="1"/>
          <c:cat>
            <c:strRef>
              <c:f>'02 KPI Dashboard'!$A$6:$A$7</c:f>
              <c:strCache>
                <c:ptCount val="2"/>
                <c:pt idx="0">
                  <c:v>Detected defects</c:v>
                </c:pt>
                <c:pt idx="1">
                  <c:v>Escaped defects</c:v>
                </c:pt>
              </c:strCache>
            </c:strRef>
          </c:cat>
          <c:val>
            <c:numRef>
              <c:f>'02 KPI Dashboard'!$C$6:$C$7</c:f>
              <c:numCache>
                <c:formatCode>General</c:formatCode>
                <c:ptCount val="2"/>
                <c:pt idx="0">
                  <c:v>38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95-264C-A209-840A3E951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8.0234375" customWidth="1"/>
    <col min="2" max="16" width="18.96484375" customWidth="1"/>
  </cols>
  <sheetData>
    <row r="1" spans="1:21" ht="32.1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</row>
    <row r="2" spans="1:21" x14ac:dyDescent="0.2">
      <c r="A2" s="9" t="s">
        <v>16</v>
      </c>
      <c r="B2" s="9">
        <v>5</v>
      </c>
      <c r="C2" s="9">
        <v>5</v>
      </c>
      <c r="D2" s="9" t="str">
        <f>IF(B2=C2,"MATCH","MISMATCH")</f>
        <v>MATCH</v>
      </c>
      <c r="E2" s="9">
        <f>IF(F2="None",1,0)</f>
        <v>1</v>
      </c>
      <c r="F2" s="9" t="s">
        <v>17</v>
      </c>
      <c r="G2" s="9">
        <v>0</v>
      </c>
      <c r="H2" s="9">
        <v>0</v>
      </c>
      <c r="I2" s="9">
        <f>IF(AND(E2=0,G2=0),1,0)</f>
        <v>0</v>
      </c>
      <c r="J2" s="9">
        <f>IF(AND(E2=0,H2=0),1,0)</f>
        <v>0</v>
      </c>
      <c r="K2" s="9">
        <f>I2*'05 Methodology'!$B$7</f>
        <v>0</v>
      </c>
      <c r="L2" s="9">
        <f>J2*'05 Methodology'!$B$7</f>
        <v>0</v>
      </c>
      <c r="M2" s="9" t="str">
        <f>IF(G2=1,"FLAG / HOLD","INDEXED")</f>
        <v>INDEXED</v>
      </c>
      <c r="N2" s="4" t="str">
        <f>IF(H2=1,"FLAG / HOLD","INDEXED")</f>
        <v>INDEXED</v>
      </c>
      <c r="O2" s="4" t="s">
        <v>18</v>
      </c>
      <c r="P2" s="4" t="s">
        <v>19</v>
      </c>
      <c r="Q2" s="4"/>
      <c r="R2" s="4"/>
      <c r="S2" s="4"/>
      <c r="T2" s="4"/>
      <c r="U2" s="4"/>
    </row>
    <row r="3" spans="1:21" x14ac:dyDescent="0.2">
      <c r="A3" s="7" t="s">
        <v>20</v>
      </c>
      <c r="B3" s="7">
        <v>6</v>
      </c>
      <c r="C3" s="7">
        <v>6</v>
      </c>
      <c r="D3" s="7" t="str">
        <f>IF(B3=C3,"MATCH","MISMATCH")</f>
        <v>MATCH</v>
      </c>
      <c r="E3" s="7">
        <f>IF(F3="None",1,0)</f>
        <v>1</v>
      </c>
      <c r="F3" s="7" t="s">
        <v>17</v>
      </c>
      <c r="G3" s="7">
        <v>0</v>
      </c>
      <c r="H3" s="7">
        <v>0</v>
      </c>
      <c r="I3" s="7">
        <f>IF(AND(E3=0,G3=0),1,0)</f>
        <v>0</v>
      </c>
      <c r="J3" s="7">
        <f>IF(AND(E3=0,H3=0),1,0)</f>
        <v>0</v>
      </c>
      <c r="K3" s="7">
        <f>I3*'05 Methodology'!$B$7</f>
        <v>0</v>
      </c>
      <c r="L3" s="7">
        <f>J3*'05 Methodology'!$B$7</f>
        <v>0</v>
      </c>
      <c r="M3" s="7" t="str">
        <f>IF(G3=1,"FLAG / HOLD","INDEXED")</f>
        <v>INDEXED</v>
      </c>
      <c r="N3" s="1" t="str">
        <f>IF(H3=1,"FLAG / HOLD","INDEXED")</f>
        <v>INDEXED</v>
      </c>
      <c r="O3" s="1" t="s">
        <v>18</v>
      </c>
      <c r="P3" s="1" t="s">
        <v>19</v>
      </c>
      <c r="Q3" s="1"/>
      <c r="R3" s="1"/>
      <c r="S3" s="1"/>
      <c r="T3" s="1"/>
      <c r="U3" s="1"/>
    </row>
    <row r="4" spans="1:21" x14ac:dyDescent="0.2">
      <c r="A4" s="7" t="s">
        <v>21</v>
      </c>
      <c r="B4" s="7">
        <v>7</v>
      </c>
      <c r="C4" s="7">
        <v>7</v>
      </c>
      <c r="D4" s="7" t="str">
        <f>IF(B4=C4,"MATCH","MISMATCH")</f>
        <v>MATCH</v>
      </c>
      <c r="E4" s="7">
        <f>IF(F4="None",1,0)</f>
        <v>1</v>
      </c>
      <c r="F4" s="7" t="s">
        <v>17</v>
      </c>
      <c r="G4" s="7">
        <v>0</v>
      </c>
      <c r="H4" s="7">
        <v>0</v>
      </c>
      <c r="I4" s="7">
        <f>IF(AND(E4=0,G4=0),1,0)</f>
        <v>0</v>
      </c>
      <c r="J4" s="7">
        <f>IF(AND(E4=0,H4=0),1,0)</f>
        <v>0</v>
      </c>
      <c r="K4" s="7">
        <f>I4*'05 Methodology'!$B$7</f>
        <v>0</v>
      </c>
      <c r="L4" s="7">
        <f>J4*'05 Methodology'!$B$7</f>
        <v>0</v>
      </c>
      <c r="M4" s="7" t="str">
        <f>IF(G4=1,"FLAG / HOLD","INDEXED")</f>
        <v>INDEXED</v>
      </c>
      <c r="N4" s="1" t="str">
        <f>IF(H4=1,"FLAG / HOLD","INDEXED")</f>
        <v>INDEXED</v>
      </c>
      <c r="O4" s="1" t="s">
        <v>18</v>
      </c>
      <c r="P4" s="1" t="s">
        <v>19</v>
      </c>
      <c r="Q4" s="1"/>
      <c r="R4" s="1"/>
      <c r="S4" s="1"/>
      <c r="T4" s="1"/>
      <c r="U4" s="1"/>
    </row>
    <row r="5" spans="1:21" x14ac:dyDescent="0.2">
      <c r="A5" s="7" t="s">
        <v>22</v>
      </c>
      <c r="B5" s="7">
        <v>8</v>
      </c>
      <c r="C5" s="7">
        <v>8</v>
      </c>
      <c r="D5" s="7" t="str">
        <f>IF(B5=C5,"MATCH","MISMATCH")</f>
        <v>MATCH</v>
      </c>
      <c r="E5" s="7">
        <f>IF(F5="None",1,0)</f>
        <v>1</v>
      </c>
      <c r="F5" s="7" t="s">
        <v>17</v>
      </c>
      <c r="G5" s="7">
        <v>0</v>
      </c>
      <c r="H5" s="7">
        <v>0</v>
      </c>
      <c r="I5" s="7">
        <f>IF(AND(E5=0,G5=0),1,0)</f>
        <v>0</v>
      </c>
      <c r="J5" s="7">
        <f>IF(AND(E5=0,H5=0),1,0)</f>
        <v>0</v>
      </c>
      <c r="K5" s="7">
        <f>I5*'05 Methodology'!$B$7</f>
        <v>0</v>
      </c>
      <c r="L5" s="7">
        <f>J5*'05 Methodology'!$B$7</f>
        <v>0</v>
      </c>
      <c r="M5" s="7" t="str">
        <f>IF(G5=1,"FLAG / HOLD","INDEXED")</f>
        <v>INDEXED</v>
      </c>
      <c r="N5" s="1" t="str">
        <f>IF(H5=1,"FLAG / HOLD","INDEXED")</f>
        <v>INDEXED</v>
      </c>
      <c r="O5" s="1" t="s">
        <v>18</v>
      </c>
      <c r="P5" s="1" t="s">
        <v>19</v>
      </c>
      <c r="Q5" s="1"/>
      <c r="R5" s="1"/>
      <c r="S5" s="1"/>
      <c r="T5" s="1"/>
      <c r="U5" s="1"/>
    </row>
    <row r="6" spans="1:21" x14ac:dyDescent="0.2">
      <c r="A6" s="7" t="s">
        <v>23</v>
      </c>
      <c r="B6" s="7">
        <v>4</v>
      </c>
      <c r="C6" s="7">
        <v>4</v>
      </c>
      <c r="D6" s="7" t="str">
        <f>IF(B6=C6,"MATCH","MISMATCH")</f>
        <v>MATCH</v>
      </c>
      <c r="E6" s="7">
        <f>IF(F6="None",1,0)</f>
        <v>0</v>
      </c>
      <c r="F6" s="7" t="s">
        <v>24</v>
      </c>
      <c r="G6" s="7">
        <v>1</v>
      </c>
      <c r="H6" s="7">
        <v>1</v>
      </c>
      <c r="I6" s="7">
        <f>IF(AND(E6=0,G6=0),1,0)</f>
        <v>0</v>
      </c>
      <c r="J6" s="7">
        <f>IF(AND(E6=0,H6=0),1,0)</f>
        <v>0</v>
      </c>
      <c r="K6" s="7">
        <f>I6*'05 Methodology'!$B$7</f>
        <v>0</v>
      </c>
      <c r="L6" s="7">
        <f>J6*'05 Methodology'!$B$7</f>
        <v>0</v>
      </c>
      <c r="M6" s="7" t="str">
        <f>IF(G6=1,"FLAG / HOLD","INDEXED")</f>
        <v>FLAG / HOLD</v>
      </c>
      <c r="N6" s="1" t="str">
        <f>IF(H6=1,"FLAG / HOLD","INDEXED")</f>
        <v>FLAG / HOLD</v>
      </c>
      <c r="O6" s="1" t="s">
        <v>18</v>
      </c>
      <c r="P6" s="1" t="s">
        <v>25</v>
      </c>
      <c r="Q6" s="1"/>
      <c r="R6" s="1"/>
      <c r="S6" s="1"/>
      <c r="T6" s="1"/>
      <c r="U6" s="1"/>
    </row>
    <row r="7" spans="1:21" x14ac:dyDescent="0.2">
      <c r="A7" s="7" t="s">
        <v>26</v>
      </c>
      <c r="B7" s="7">
        <v>5</v>
      </c>
      <c r="C7" s="7">
        <v>5</v>
      </c>
      <c r="D7" s="7" t="str">
        <f>IF(B7=C7,"MATCH","MISMATCH")</f>
        <v>MATCH</v>
      </c>
      <c r="E7" s="7">
        <f>IF(F7="None",1,0)</f>
        <v>1</v>
      </c>
      <c r="F7" s="7" t="s">
        <v>17</v>
      </c>
      <c r="G7" s="7">
        <v>0</v>
      </c>
      <c r="H7" s="7">
        <v>0</v>
      </c>
      <c r="I7" s="7">
        <f>IF(AND(E7=0,G7=0),1,0)</f>
        <v>0</v>
      </c>
      <c r="J7" s="7">
        <f>IF(AND(E7=0,H7=0),1,0)</f>
        <v>0</v>
      </c>
      <c r="K7" s="7">
        <f>I7*'05 Methodology'!$B$7</f>
        <v>0</v>
      </c>
      <c r="L7" s="7">
        <f>J7*'05 Methodology'!$B$7</f>
        <v>0</v>
      </c>
      <c r="M7" s="7" t="str">
        <f>IF(G7=1,"FLAG / HOLD","INDEXED")</f>
        <v>INDEXED</v>
      </c>
      <c r="N7" s="1" t="str">
        <f>IF(H7=1,"FLAG / HOLD","INDEXED")</f>
        <v>INDEXED</v>
      </c>
      <c r="O7" s="1" t="s">
        <v>18</v>
      </c>
      <c r="P7" s="1" t="s">
        <v>19</v>
      </c>
      <c r="Q7" s="1"/>
      <c r="R7" s="1"/>
      <c r="S7" s="1"/>
      <c r="T7" s="1"/>
      <c r="U7" s="1"/>
    </row>
    <row r="8" spans="1:21" x14ac:dyDescent="0.2">
      <c r="A8" s="7" t="s">
        <v>27</v>
      </c>
      <c r="B8" s="7">
        <v>6</v>
      </c>
      <c r="C8" s="7">
        <v>6</v>
      </c>
      <c r="D8" s="7" t="str">
        <f>IF(B8=C8,"MATCH","MISMATCH")</f>
        <v>MATCH</v>
      </c>
      <c r="E8" s="7">
        <f>IF(F8="None",1,0)</f>
        <v>1</v>
      </c>
      <c r="F8" s="7" t="s">
        <v>17</v>
      </c>
      <c r="G8" s="7">
        <v>0</v>
      </c>
      <c r="H8" s="7">
        <v>0</v>
      </c>
      <c r="I8" s="7">
        <f>IF(AND(E8=0,G8=0),1,0)</f>
        <v>0</v>
      </c>
      <c r="J8" s="7">
        <f>IF(AND(E8=0,H8=0),1,0)</f>
        <v>0</v>
      </c>
      <c r="K8" s="7">
        <f>I8*'05 Methodology'!$B$7</f>
        <v>0</v>
      </c>
      <c r="L8" s="7">
        <f>J8*'05 Methodology'!$B$7</f>
        <v>0</v>
      </c>
      <c r="M8" s="7" t="str">
        <f>IF(G8=1,"FLAG / HOLD","INDEXED")</f>
        <v>INDEXED</v>
      </c>
      <c r="N8" s="1" t="str">
        <f>IF(H8=1,"FLAG / HOLD","INDEXED")</f>
        <v>INDEXED</v>
      </c>
      <c r="O8" s="1" t="s">
        <v>18</v>
      </c>
      <c r="P8" s="1" t="s">
        <v>19</v>
      </c>
      <c r="Q8" s="1"/>
      <c r="R8" s="1"/>
      <c r="S8" s="1"/>
      <c r="T8" s="1"/>
      <c r="U8" s="1"/>
    </row>
    <row r="9" spans="1:21" x14ac:dyDescent="0.2">
      <c r="A9" s="7" t="s">
        <v>28</v>
      </c>
      <c r="B9" s="7">
        <v>7</v>
      </c>
      <c r="C9" s="7">
        <v>7</v>
      </c>
      <c r="D9" s="7" t="str">
        <f>IF(B9=C9,"MATCH","MISMATCH")</f>
        <v>MATCH</v>
      </c>
      <c r="E9" s="7">
        <f>IF(F9="None",1,0)</f>
        <v>1</v>
      </c>
      <c r="F9" s="7" t="s">
        <v>17</v>
      </c>
      <c r="G9" s="7">
        <v>0</v>
      </c>
      <c r="H9" s="7">
        <v>0</v>
      </c>
      <c r="I9" s="7">
        <f>IF(AND(E9=0,G9=0),1,0)</f>
        <v>0</v>
      </c>
      <c r="J9" s="7">
        <f>IF(AND(E9=0,H9=0),1,0)</f>
        <v>0</v>
      </c>
      <c r="K9" s="7">
        <f>I9*'05 Methodology'!$B$7</f>
        <v>0</v>
      </c>
      <c r="L9" s="7">
        <f>J9*'05 Methodology'!$B$7</f>
        <v>0</v>
      </c>
      <c r="M9" s="7" t="str">
        <f>IF(G9=1,"FLAG / HOLD","INDEXED")</f>
        <v>INDEXED</v>
      </c>
      <c r="N9" s="1" t="str">
        <f>IF(H9=1,"FLAG / HOLD","INDEXED")</f>
        <v>INDEXED</v>
      </c>
      <c r="O9" s="1" t="s">
        <v>18</v>
      </c>
      <c r="P9" s="1" t="s">
        <v>19</v>
      </c>
      <c r="Q9" s="1"/>
      <c r="R9" s="1"/>
      <c r="S9" s="1"/>
      <c r="T9" s="1"/>
      <c r="U9" s="1"/>
    </row>
    <row r="10" spans="1:21" x14ac:dyDescent="0.2">
      <c r="A10" s="7" t="s">
        <v>29</v>
      </c>
      <c r="B10" s="7">
        <v>8</v>
      </c>
      <c r="C10" s="7">
        <v>8</v>
      </c>
      <c r="D10" s="7" t="str">
        <f>IF(B10=C10,"MATCH","MISMATCH")</f>
        <v>MATCH</v>
      </c>
      <c r="E10" s="7">
        <f>IF(F10="None",1,0)</f>
        <v>1</v>
      </c>
      <c r="F10" s="7" t="s">
        <v>17</v>
      </c>
      <c r="G10" s="7">
        <v>0</v>
      </c>
      <c r="H10" s="7">
        <v>0</v>
      </c>
      <c r="I10" s="7">
        <f>IF(AND(E10=0,G10=0),1,0)</f>
        <v>0</v>
      </c>
      <c r="J10" s="7">
        <f>IF(AND(E10=0,H10=0),1,0)</f>
        <v>0</v>
      </c>
      <c r="K10" s="7">
        <f>I10*'05 Methodology'!$B$7</f>
        <v>0</v>
      </c>
      <c r="L10" s="7">
        <f>J10*'05 Methodology'!$B$7</f>
        <v>0</v>
      </c>
      <c r="M10" s="7" t="str">
        <f>IF(G10=1,"FLAG / HOLD","INDEXED")</f>
        <v>INDEXED</v>
      </c>
      <c r="N10" s="1" t="str">
        <f>IF(H10=1,"FLAG / HOLD","INDEXED")</f>
        <v>INDEXED</v>
      </c>
      <c r="O10" s="1" t="s">
        <v>18</v>
      </c>
      <c r="P10" s="1" t="s">
        <v>19</v>
      </c>
      <c r="Q10" s="1"/>
      <c r="R10" s="1"/>
      <c r="S10" s="1"/>
      <c r="T10" s="1"/>
      <c r="U10" s="1"/>
    </row>
    <row r="11" spans="1:21" x14ac:dyDescent="0.2">
      <c r="A11" s="7" t="s">
        <v>30</v>
      </c>
      <c r="B11" s="7">
        <v>4</v>
      </c>
      <c r="C11" s="7">
        <v>4</v>
      </c>
      <c r="D11" s="7" t="str">
        <f>IF(B11=C11,"MATCH","MISMATCH")</f>
        <v>MATCH</v>
      </c>
      <c r="E11" s="7">
        <f>IF(F11="None",1,0)</f>
        <v>0</v>
      </c>
      <c r="F11" s="7" t="s">
        <v>24</v>
      </c>
      <c r="G11" s="7">
        <v>1</v>
      </c>
      <c r="H11" s="7">
        <v>1</v>
      </c>
      <c r="I11" s="7">
        <f>IF(AND(E11=0,G11=0),1,0)</f>
        <v>0</v>
      </c>
      <c r="J11" s="7">
        <f>IF(AND(E11=0,H11=0),1,0)</f>
        <v>0</v>
      </c>
      <c r="K11" s="7">
        <f>I11*'05 Methodology'!$B$7</f>
        <v>0</v>
      </c>
      <c r="L11" s="7">
        <f>J11*'05 Methodology'!$B$7</f>
        <v>0</v>
      </c>
      <c r="M11" s="7" t="str">
        <f>IF(G11=1,"FLAG / HOLD","INDEXED")</f>
        <v>FLAG / HOLD</v>
      </c>
      <c r="N11" s="1" t="str">
        <f>IF(H11=1,"FLAG / HOLD","INDEXED")</f>
        <v>FLAG / HOLD</v>
      </c>
      <c r="O11" s="1" t="s">
        <v>18</v>
      </c>
      <c r="P11" s="1" t="s">
        <v>25</v>
      </c>
      <c r="Q11" s="1"/>
      <c r="R11" s="1"/>
      <c r="S11" s="1"/>
      <c r="T11" s="1"/>
      <c r="U11" s="1"/>
    </row>
    <row r="12" spans="1:21" x14ac:dyDescent="0.2">
      <c r="A12" s="7" t="s">
        <v>31</v>
      </c>
      <c r="B12" s="7">
        <v>5</v>
      </c>
      <c r="C12" s="7">
        <v>5</v>
      </c>
      <c r="D12" s="7" t="str">
        <f>IF(B12=C12,"MATCH","MISMATCH")</f>
        <v>MATCH</v>
      </c>
      <c r="E12" s="7">
        <f>IF(F12="None",1,0)</f>
        <v>1</v>
      </c>
      <c r="F12" s="7" t="s">
        <v>17</v>
      </c>
      <c r="G12" s="7">
        <v>0</v>
      </c>
      <c r="H12" s="7">
        <v>0</v>
      </c>
      <c r="I12" s="7">
        <f>IF(AND(E12=0,G12=0),1,0)</f>
        <v>0</v>
      </c>
      <c r="J12" s="7">
        <f>IF(AND(E12=0,H12=0),1,0)</f>
        <v>0</v>
      </c>
      <c r="K12" s="7">
        <f>I12*'05 Methodology'!$B$7</f>
        <v>0</v>
      </c>
      <c r="L12" s="7">
        <f>J12*'05 Methodology'!$B$7</f>
        <v>0</v>
      </c>
      <c r="M12" s="7" t="str">
        <f>IF(G12=1,"FLAG / HOLD","INDEXED")</f>
        <v>INDEXED</v>
      </c>
      <c r="N12" s="1" t="str">
        <f>IF(H12=1,"FLAG / HOLD","INDEXED")</f>
        <v>INDEXED</v>
      </c>
      <c r="O12" s="1" t="s">
        <v>18</v>
      </c>
      <c r="P12" s="1" t="s">
        <v>19</v>
      </c>
      <c r="Q12" s="1"/>
      <c r="R12" s="1"/>
      <c r="S12" s="1"/>
      <c r="T12" s="1"/>
      <c r="U12" s="1"/>
    </row>
    <row r="13" spans="1:21" x14ac:dyDescent="0.2">
      <c r="A13" s="7" t="s">
        <v>32</v>
      </c>
      <c r="B13" s="7">
        <v>6</v>
      </c>
      <c r="C13" s="7">
        <v>6</v>
      </c>
      <c r="D13" s="7" t="str">
        <f>IF(B13=C13,"MATCH","MISMATCH")</f>
        <v>MATCH</v>
      </c>
      <c r="E13" s="7">
        <f>IF(F13="None",1,0)</f>
        <v>1</v>
      </c>
      <c r="F13" s="7" t="s">
        <v>17</v>
      </c>
      <c r="G13" s="7">
        <v>0</v>
      </c>
      <c r="H13" s="7">
        <v>0</v>
      </c>
      <c r="I13" s="7">
        <f>IF(AND(E13=0,G13=0),1,0)</f>
        <v>0</v>
      </c>
      <c r="J13" s="7">
        <f>IF(AND(E13=0,H13=0),1,0)</f>
        <v>0</v>
      </c>
      <c r="K13" s="7">
        <f>I13*'05 Methodology'!$B$7</f>
        <v>0</v>
      </c>
      <c r="L13" s="7">
        <f>J13*'05 Methodology'!$B$7</f>
        <v>0</v>
      </c>
      <c r="M13" s="7" t="str">
        <f>IF(G13=1,"FLAG / HOLD","INDEXED")</f>
        <v>INDEXED</v>
      </c>
      <c r="N13" s="1" t="str">
        <f>IF(H13=1,"FLAG / HOLD","INDEXED")</f>
        <v>INDEXED</v>
      </c>
      <c r="O13" s="1" t="s">
        <v>18</v>
      </c>
      <c r="P13" s="1" t="s">
        <v>19</v>
      </c>
      <c r="Q13" s="1"/>
      <c r="R13" s="1"/>
      <c r="S13" s="1"/>
      <c r="T13" s="1"/>
      <c r="U13" s="1"/>
    </row>
    <row r="14" spans="1:21" x14ac:dyDescent="0.2">
      <c r="A14" s="7" t="s">
        <v>33</v>
      </c>
      <c r="B14" s="7">
        <v>7</v>
      </c>
      <c r="C14" s="7">
        <v>7</v>
      </c>
      <c r="D14" s="7" t="str">
        <f>IF(B14=C14,"MATCH","MISMATCH")</f>
        <v>MATCH</v>
      </c>
      <c r="E14" s="7">
        <f>IF(F14="None",1,0)</f>
        <v>1</v>
      </c>
      <c r="F14" s="7" t="s">
        <v>17</v>
      </c>
      <c r="G14" s="7">
        <v>0</v>
      </c>
      <c r="H14" s="7">
        <v>0</v>
      </c>
      <c r="I14" s="7">
        <f>IF(AND(E14=0,G14=0),1,0)</f>
        <v>0</v>
      </c>
      <c r="J14" s="7">
        <f>IF(AND(E14=0,H14=0),1,0)</f>
        <v>0</v>
      </c>
      <c r="K14" s="7">
        <f>I14*'05 Methodology'!$B$7</f>
        <v>0</v>
      </c>
      <c r="L14" s="7">
        <f>J14*'05 Methodology'!$B$7</f>
        <v>0</v>
      </c>
      <c r="M14" s="7" t="str">
        <f>IF(G14=1,"FLAG / HOLD","INDEXED")</f>
        <v>INDEXED</v>
      </c>
      <c r="N14" s="1" t="str">
        <f>IF(H14=1,"FLAG / HOLD","INDEXED")</f>
        <v>INDEXED</v>
      </c>
      <c r="O14" s="1" t="s">
        <v>18</v>
      </c>
      <c r="P14" s="1" t="s">
        <v>19</v>
      </c>
      <c r="Q14" s="1"/>
      <c r="R14" s="1"/>
      <c r="S14" s="1"/>
      <c r="T14" s="1"/>
      <c r="U14" s="1"/>
    </row>
    <row r="15" spans="1:21" x14ac:dyDescent="0.2">
      <c r="A15" s="7" t="s">
        <v>34</v>
      </c>
      <c r="B15" s="7">
        <v>6</v>
      </c>
      <c r="C15" s="7">
        <v>6</v>
      </c>
      <c r="D15" s="7" t="str">
        <f>IF(B15=C15,"MATCH","MISMATCH")</f>
        <v>MATCH</v>
      </c>
      <c r="E15" s="7">
        <f>IF(F15="None",1,0)</f>
        <v>1</v>
      </c>
      <c r="F15" s="7" t="s">
        <v>17</v>
      </c>
      <c r="G15" s="7">
        <v>0</v>
      </c>
      <c r="H15" s="7">
        <v>0</v>
      </c>
      <c r="I15" s="7">
        <f>IF(AND(E15=0,G15=0),1,0)</f>
        <v>0</v>
      </c>
      <c r="J15" s="7">
        <f>IF(AND(E15=0,H15=0),1,0)</f>
        <v>0</v>
      </c>
      <c r="K15" s="7">
        <f>I15*'05 Methodology'!$B$7</f>
        <v>0</v>
      </c>
      <c r="L15" s="7">
        <f>J15*'05 Methodology'!$B$7</f>
        <v>0</v>
      </c>
      <c r="M15" s="7" t="str">
        <f>IF(G15=1,"FLAG / HOLD","INDEXED")</f>
        <v>INDEXED</v>
      </c>
      <c r="N15" s="1" t="str">
        <f>IF(H15=1,"FLAG / HOLD","INDEXED")</f>
        <v>INDEXED</v>
      </c>
      <c r="O15" s="1" t="s">
        <v>18</v>
      </c>
      <c r="P15" s="1" t="s">
        <v>19</v>
      </c>
      <c r="Q15" s="1"/>
      <c r="R15" s="1"/>
      <c r="S15" s="1"/>
      <c r="T15" s="1"/>
      <c r="U15" s="1"/>
    </row>
    <row r="16" spans="1:21" x14ac:dyDescent="0.2">
      <c r="A16" s="7" t="s">
        <v>35</v>
      </c>
      <c r="B16" s="7">
        <v>4</v>
      </c>
      <c r="C16" s="7">
        <v>4</v>
      </c>
      <c r="D16" s="7" t="str">
        <f>IF(B16=C16,"MATCH","MISMATCH")</f>
        <v>MATCH</v>
      </c>
      <c r="E16" s="7">
        <f>IF(F16="None",1,0)</f>
        <v>1</v>
      </c>
      <c r="F16" s="7" t="s">
        <v>17</v>
      </c>
      <c r="G16" s="7">
        <v>0</v>
      </c>
      <c r="H16" s="7">
        <v>0</v>
      </c>
      <c r="I16" s="7">
        <f>IF(AND(E16=0,G16=0),1,0)</f>
        <v>0</v>
      </c>
      <c r="J16" s="7">
        <f>IF(AND(E16=0,H16=0),1,0)</f>
        <v>0</v>
      </c>
      <c r="K16" s="7">
        <f>I16*'05 Methodology'!$B$7</f>
        <v>0</v>
      </c>
      <c r="L16" s="7">
        <f>J16*'05 Methodology'!$B$7</f>
        <v>0</v>
      </c>
      <c r="M16" s="7" t="str">
        <f>IF(G16=1,"FLAG / HOLD","INDEXED")</f>
        <v>INDEXED</v>
      </c>
      <c r="N16" s="1" t="str">
        <f>IF(H16=1,"FLAG / HOLD","INDEXED")</f>
        <v>INDEXED</v>
      </c>
      <c r="O16" s="1" t="s">
        <v>18</v>
      </c>
      <c r="P16" s="1" t="s">
        <v>19</v>
      </c>
      <c r="Q16" s="1"/>
      <c r="R16" s="1"/>
      <c r="S16" s="1"/>
      <c r="T16" s="1"/>
      <c r="U16" s="1"/>
    </row>
    <row r="17" spans="1:21" x14ac:dyDescent="0.2">
      <c r="A17" s="7" t="s">
        <v>36</v>
      </c>
      <c r="B17" s="7">
        <v>5</v>
      </c>
      <c r="C17" s="7">
        <v>5</v>
      </c>
      <c r="D17" s="7" t="str">
        <f>IF(B17=C17,"MATCH","MISMATCH")</f>
        <v>MATCH</v>
      </c>
      <c r="E17" s="7">
        <f>IF(F17="None",1,0)</f>
        <v>1</v>
      </c>
      <c r="F17" s="7" t="s">
        <v>17</v>
      </c>
      <c r="G17" s="7">
        <v>0</v>
      </c>
      <c r="H17" s="7">
        <v>0</v>
      </c>
      <c r="I17" s="7">
        <f>IF(AND(E17=0,G17=0),1,0)</f>
        <v>0</v>
      </c>
      <c r="J17" s="7">
        <f>IF(AND(E17=0,H17=0),1,0)</f>
        <v>0</v>
      </c>
      <c r="K17" s="7">
        <f>I17*'05 Methodology'!$B$7</f>
        <v>0</v>
      </c>
      <c r="L17" s="7">
        <f>J17*'05 Methodology'!$B$7</f>
        <v>0</v>
      </c>
      <c r="M17" s="7" t="str">
        <f>IF(G17=1,"FLAG / HOLD","INDEXED")</f>
        <v>INDEXED</v>
      </c>
      <c r="N17" s="1" t="str">
        <f>IF(H17=1,"FLAG / HOLD","INDEXED")</f>
        <v>INDEXED</v>
      </c>
      <c r="O17" s="1" t="s">
        <v>18</v>
      </c>
      <c r="P17" s="1" t="s">
        <v>19</v>
      </c>
      <c r="Q17" s="1"/>
      <c r="R17" s="1"/>
      <c r="S17" s="1"/>
      <c r="T17" s="1"/>
      <c r="U17" s="1"/>
    </row>
    <row r="18" spans="1:21" x14ac:dyDescent="0.2">
      <c r="A18" s="7" t="s">
        <v>37</v>
      </c>
      <c r="B18" s="7">
        <v>6</v>
      </c>
      <c r="C18" s="7">
        <v>5</v>
      </c>
      <c r="D18" s="7" t="str">
        <f>IF(B18=C18,"MATCH","MISMATCH")</f>
        <v>MISMATCH</v>
      </c>
      <c r="E18" s="7">
        <f>IF(F18="None",1,0)</f>
        <v>0</v>
      </c>
      <c r="F18" s="7" t="s">
        <v>38</v>
      </c>
      <c r="G18" s="7">
        <v>0</v>
      </c>
      <c r="H18" s="7">
        <v>1</v>
      </c>
      <c r="I18" s="7">
        <f>IF(AND(E18=0,G18=0),1,0)</f>
        <v>1</v>
      </c>
      <c r="J18" s="7">
        <f>IF(AND(E18=0,H18=0),1,0)</f>
        <v>0</v>
      </c>
      <c r="K18" s="7">
        <f>I18*'05 Methodology'!$B$7</f>
        <v>20</v>
      </c>
      <c r="L18" s="7">
        <f>J18*'05 Methodology'!$B$7</f>
        <v>0</v>
      </c>
      <c r="M18" s="7" t="str">
        <f>IF(G18=1,"FLAG / HOLD","INDEXED")</f>
        <v>INDEXED</v>
      </c>
      <c r="N18" s="1" t="str">
        <f>IF(H18=1,"FLAG / HOLD","INDEXED")</f>
        <v>FLAG / HOLD</v>
      </c>
      <c r="O18" s="1" t="s">
        <v>18</v>
      </c>
      <c r="P18" s="1" t="s">
        <v>19</v>
      </c>
      <c r="Q18" s="1"/>
      <c r="R18" s="1"/>
      <c r="S18" s="1"/>
      <c r="T18" s="1"/>
      <c r="U18" s="1"/>
    </row>
    <row r="19" spans="1:21" x14ac:dyDescent="0.2">
      <c r="A19" s="7" t="s">
        <v>39</v>
      </c>
      <c r="B19" s="7">
        <v>7</v>
      </c>
      <c r="C19" s="7">
        <v>7</v>
      </c>
      <c r="D19" s="7" t="str">
        <f>IF(B19=C19,"MATCH","MISMATCH")</f>
        <v>MATCH</v>
      </c>
      <c r="E19" s="7">
        <f>IF(F19="None",1,0)</f>
        <v>1</v>
      </c>
      <c r="F19" s="7" t="s">
        <v>17</v>
      </c>
      <c r="G19" s="7">
        <v>0</v>
      </c>
      <c r="H19" s="7">
        <v>0</v>
      </c>
      <c r="I19" s="7">
        <f>IF(AND(E19=0,G19=0),1,0)</f>
        <v>0</v>
      </c>
      <c r="J19" s="7">
        <f>IF(AND(E19=0,H19=0),1,0)</f>
        <v>0</v>
      </c>
      <c r="K19" s="7">
        <f>I19*'05 Methodology'!$B$7</f>
        <v>0</v>
      </c>
      <c r="L19" s="7">
        <f>J19*'05 Methodology'!$B$7</f>
        <v>0</v>
      </c>
      <c r="M19" s="7" t="str">
        <f>IF(G19=1,"FLAG / HOLD","INDEXED")</f>
        <v>INDEXED</v>
      </c>
      <c r="N19" s="1" t="str">
        <f>IF(H19=1,"FLAG / HOLD","INDEXED")</f>
        <v>INDEXED</v>
      </c>
      <c r="O19" s="1" t="s">
        <v>18</v>
      </c>
      <c r="P19" s="1" t="s">
        <v>19</v>
      </c>
      <c r="Q19" s="1"/>
      <c r="R19" s="1"/>
      <c r="S19" s="1"/>
      <c r="T19" s="1"/>
      <c r="U19" s="1"/>
    </row>
    <row r="20" spans="1:21" x14ac:dyDescent="0.2">
      <c r="A20" s="7" t="s">
        <v>40</v>
      </c>
      <c r="B20" s="7">
        <v>8</v>
      </c>
      <c r="C20" s="7">
        <v>8</v>
      </c>
      <c r="D20" s="7" t="str">
        <f>IF(B20=C20,"MATCH","MISMATCH")</f>
        <v>MATCH</v>
      </c>
      <c r="E20" s="7">
        <f>IF(F20="None",1,0)</f>
        <v>1</v>
      </c>
      <c r="F20" s="7" t="s">
        <v>17</v>
      </c>
      <c r="G20" s="7">
        <v>0</v>
      </c>
      <c r="H20" s="7">
        <v>0</v>
      </c>
      <c r="I20" s="7">
        <f>IF(AND(E20=0,G20=0),1,0)</f>
        <v>0</v>
      </c>
      <c r="J20" s="7">
        <f>IF(AND(E20=0,H20=0),1,0)</f>
        <v>0</v>
      </c>
      <c r="K20" s="7">
        <f>I20*'05 Methodology'!$B$7</f>
        <v>0</v>
      </c>
      <c r="L20" s="7">
        <f>J20*'05 Methodology'!$B$7</f>
        <v>0</v>
      </c>
      <c r="M20" s="7" t="str">
        <f>IF(G20=1,"FLAG / HOLD","INDEXED")</f>
        <v>INDEXED</v>
      </c>
      <c r="N20" s="1" t="str">
        <f>IF(H20=1,"FLAG / HOLD","INDEXED")</f>
        <v>INDEXED</v>
      </c>
      <c r="O20" s="1" t="s">
        <v>18</v>
      </c>
      <c r="P20" s="1" t="s">
        <v>19</v>
      </c>
      <c r="Q20" s="1"/>
      <c r="R20" s="1"/>
      <c r="S20" s="1"/>
      <c r="T20" s="1"/>
      <c r="U20" s="1"/>
    </row>
    <row r="21" spans="1:21" x14ac:dyDescent="0.2">
      <c r="A21" s="7" t="s">
        <v>41</v>
      </c>
      <c r="B21" s="7">
        <v>4</v>
      </c>
      <c r="C21" s="7">
        <v>4</v>
      </c>
      <c r="D21" s="7" t="str">
        <f>IF(B21=C21,"MATCH","MISMATCH")</f>
        <v>MATCH</v>
      </c>
      <c r="E21" s="7">
        <f>IF(F21="None",1,0)</f>
        <v>1</v>
      </c>
      <c r="F21" s="7" t="s">
        <v>17</v>
      </c>
      <c r="G21" s="7">
        <v>0</v>
      </c>
      <c r="H21" s="7">
        <v>0</v>
      </c>
      <c r="I21" s="7">
        <f>IF(AND(E21=0,G21=0),1,0)</f>
        <v>0</v>
      </c>
      <c r="J21" s="7">
        <f>IF(AND(E21=0,H21=0),1,0)</f>
        <v>0</v>
      </c>
      <c r="K21" s="7">
        <f>I21*'05 Methodology'!$B$7</f>
        <v>0</v>
      </c>
      <c r="L21" s="7">
        <f>J21*'05 Methodology'!$B$7</f>
        <v>0</v>
      </c>
      <c r="M21" s="7" t="str">
        <f>IF(G21=1,"FLAG / HOLD","INDEXED")</f>
        <v>INDEXED</v>
      </c>
      <c r="N21" s="1" t="str">
        <f>IF(H21=1,"FLAG / HOLD","INDEXED")</f>
        <v>INDEXED</v>
      </c>
      <c r="O21" s="1" t="s">
        <v>18</v>
      </c>
      <c r="P21" s="1" t="s">
        <v>19</v>
      </c>
      <c r="Q21" s="1"/>
      <c r="R21" s="1"/>
      <c r="S21" s="1"/>
      <c r="T21" s="1"/>
      <c r="U21" s="1"/>
    </row>
    <row r="22" spans="1:21" x14ac:dyDescent="0.2">
      <c r="A22" s="7" t="s">
        <v>42</v>
      </c>
      <c r="B22" s="7">
        <v>6</v>
      </c>
      <c r="C22" s="7">
        <v>6</v>
      </c>
      <c r="D22" s="7" t="str">
        <f>IF(B22=C22,"MATCH","MISMATCH")</f>
        <v>MATCH</v>
      </c>
      <c r="E22" s="7">
        <f>IF(F22="None",1,0)</f>
        <v>1</v>
      </c>
      <c r="F22" s="7" t="s">
        <v>17</v>
      </c>
      <c r="G22" s="7">
        <v>0</v>
      </c>
      <c r="H22" s="7">
        <v>0</v>
      </c>
      <c r="I22" s="7">
        <f>IF(AND(E22=0,G22=0),1,0)</f>
        <v>0</v>
      </c>
      <c r="J22" s="7">
        <f>IF(AND(E22=0,H22=0),1,0)</f>
        <v>0</v>
      </c>
      <c r="K22" s="7">
        <f>I22*'05 Methodology'!$B$7</f>
        <v>0</v>
      </c>
      <c r="L22" s="7">
        <f>J22*'05 Methodology'!$B$7</f>
        <v>0</v>
      </c>
      <c r="M22" s="7" t="str">
        <f>IF(G22=1,"FLAG / HOLD","INDEXED")</f>
        <v>INDEXED</v>
      </c>
      <c r="N22" s="1" t="str">
        <f>IF(H22=1,"FLAG / HOLD","INDEXED")</f>
        <v>INDEXED</v>
      </c>
      <c r="O22" s="1" t="s">
        <v>18</v>
      </c>
      <c r="P22" s="1" t="s">
        <v>19</v>
      </c>
      <c r="Q22" s="1"/>
      <c r="R22" s="1"/>
      <c r="S22" s="1"/>
      <c r="T22" s="1"/>
      <c r="U22" s="1"/>
    </row>
    <row r="23" spans="1:21" x14ac:dyDescent="0.2">
      <c r="A23" s="7" t="s">
        <v>43</v>
      </c>
      <c r="B23" s="7">
        <v>6</v>
      </c>
      <c r="C23" s="7">
        <v>6</v>
      </c>
      <c r="D23" s="7" t="str">
        <f>IF(B23=C23,"MATCH","MISMATCH")</f>
        <v>MATCH</v>
      </c>
      <c r="E23" s="7">
        <f>IF(F23="None",1,0)</f>
        <v>1</v>
      </c>
      <c r="F23" s="7" t="s">
        <v>17</v>
      </c>
      <c r="G23" s="7">
        <v>0</v>
      </c>
      <c r="H23" s="7">
        <v>0</v>
      </c>
      <c r="I23" s="7">
        <f>IF(AND(E23=0,G23=0),1,0)</f>
        <v>0</v>
      </c>
      <c r="J23" s="7">
        <f>IF(AND(E23=0,H23=0),1,0)</f>
        <v>0</v>
      </c>
      <c r="K23" s="7">
        <f>I23*'05 Methodology'!$B$7</f>
        <v>0</v>
      </c>
      <c r="L23" s="7">
        <f>J23*'05 Methodology'!$B$7</f>
        <v>0</v>
      </c>
      <c r="M23" s="7" t="str">
        <f>IF(G23=1,"FLAG / HOLD","INDEXED")</f>
        <v>INDEXED</v>
      </c>
      <c r="N23" s="1" t="str">
        <f>IF(H23=1,"FLAG / HOLD","INDEXED")</f>
        <v>INDEXED</v>
      </c>
      <c r="O23" s="1" t="s">
        <v>18</v>
      </c>
      <c r="P23" s="1" t="s">
        <v>19</v>
      </c>
      <c r="Q23" s="1"/>
      <c r="R23" s="1"/>
      <c r="S23" s="1"/>
      <c r="T23" s="1"/>
      <c r="U23" s="1"/>
    </row>
    <row r="24" spans="1:21" x14ac:dyDescent="0.2">
      <c r="A24" s="7" t="s">
        <v>44</v>
      </c>
      <c r="B24" s="7">
        <v>7</v>
      </c>
      <c r="C24" s="7">
        <v>7</v>
      </c>
      <c r="D24" s="7" t="str">
        <f>IF(B24=C24,"MATCH","MISMATCH")</f>
        <v>MATCH</v>
      </c>
      <c r="E24" s="7">
        <f>IF(F24="None",1,0)</f>
        <v>1</v>
      </c>
      <c r="F24" s="7" t="s">
        <v>17</v>
      </c>
      <c r="G24" s="7">
        <v>0</v>
      </c>
      <c r="H24" s="7">
        <v>0</v>
      </c>
      <c r="I24" s="7">
        <f>IF(AND(E24=0,G24=0),1,0)</f>
        <v>0</v>
      </c>
      <c r="J24" s="7">
        <f>IF(AND(E24=0,H24=0),1,0)</f>
        <v>0</v>
      </c>
      <c r="K24" s="7">
        <f>I24*'05 Methodology'!$B$7</f>
        <v>0</v>
      </c>
      <c r="L24" s="7">
        <f>J24*'05 Methodology'!$B$7</f>
        <v>0</v>
      </c>
      <c r="M24" s="7" t="str">
        <f>IF(G24=1,"FLAG / HOLD","INDEXED")</f>
        <v>INDEXED</v>
      </c>
      <c r="N24" s="1" t="str">
        <f>IF(H24=1,"FLAG / HOLD","INDEXED")</f>
        <v>INDEXED</v>
      </c>
      <c r="O24" s="1" t="s">
        <v>18</v>
      </c>
      <c r="P24" s="1" t="s">
        <v>19</v>
      </c>
      <c r="Q24" s="1"/>
      <c r="R24" s="1"/>
      <c r="S24" s="1"/>
      <c r="T24" s="1"/>
      <c r="U24" s="1"/>
    </row>
    <row r="25" spans="1:21" x14ac:dyDescent="0.2">
      <c r="A25" s="7" t="s">
        <v>45</v>
      </c>
      <c r="B25" s="7">
        <v>8</v>
      </c>
      <c r="C25" s="7">
        <v>8</v>
      </c>
      <c r="D25" s="7" t="str">
        <f>IF(B25=C25,"MATCH","MISMATCH")</f>
        <v>MATCH</v>
      </c>
      <c r="E25" s="7">
        <f>IF(F25="None",1,0)</f>
        <v>1</v>
      </c>
      <c r="F25" s="7" t="s">
        <v>17</v>
      </c>
      <c r="G25" s="7">
        <v>0</v>
      </c>
      <c r="H25" s="7">
        <v>0</v>
      </c>
      <c r="I25" s="7">
        <f>IF(AND(E25=0,G25=0),1,0)</f>
        <v>0</v>
      </c>
      <c r="J25" s="7">
        <f>IF(AND(E25=0,H25=0),1,0)</f>
        <v>0</v>
      </c>
      <c r="K25" s="7">
        <f>I25*'05 Methodology'!$B$7</f>
        <v>0</v>
      </c>
      <c r="L25" s="7">
        <f>J25*'05 Methodology'!$B$7</f>
        <v>0</v>
      </c>
      <c r="M25" s="7" t="str">
        <f>IF(G25=1,"FLAG / HOLD","INDEXED")</f>
        <v>INDEXED</v>
      </c>
      <c r="N25" s="1" t="str">
        <f>IF(H25=1,"FLAG / HOLD","INDEXED")</f>
        <v>INDEXED</v>
      </c>
      <c r="O25" s="1" t="s">
        <v>18</v>
      </c>
      <c r="P25" s="1" t="s">
        <v>19</v>
      </c>
      <c r="Q25" s="1"/>
      <c r="R25" s="1"/>
      <c r="S25" s="1"/>
      <c r="T25" s="1"/>
      <c r="U25" s="1"/>
    </row>
    <row r="26" spans="1:21" x14ac:dyDescent="0.2">
      <c r="A26" s="7" t="s">
        <v>46</v>
      </c>
      <c r="B26" s="7">
        <v>4</v>
      </c>
      <c r="C26" s="7">
        <v>4</v>
      </c>
      <c r="D26" s="7" t="str">
        <f>IF(B26=C26,"MATCH","MISMATCH")</f>
        <v>MATCH</v>
      </c>
      <c r="E26" s="7">
        <f>IF(F26="None",1,0)</f>
        <v>1</v>
      </c>
      <c r="F26" s="7" t="s">
        <v>17</v>
      </c>
      <c r="G26" s="7">
        <v>0</v>
      </c>
      <c r="H26" s="7">
        <v>0</v>
      </c>
      <c r="I26" s="7">
        <f>IF(AND(E26=0,G26=0),1,0)</f>
        <v>0</v>
      </c>
      <c r="J26" s="7">
        <f>IF(AND(E26=0,H26=0),1,0)</f>
        <v>0</v>
      </c>
      <c r="K26" s="7">
        <f>I26*'05 Methodology'!$B$7</f>
        <v>0</v>
      </c>
      <c r="L26" s="7">
        <f>J26*'05 Methodology'!$B$7</f>
        <v>0</v>
      </c>
      <c r="M26" s="7" t="str">
        <f>IF(G26=1,"FLAG / HOLD","INDEXED")</f>
        <v>INDEXED</v>
      </c>
      <c r="N26" s="1" t="str">
        <f>IF(H26=1,"FLAG / HOLD","INDEXED")</f>
        <v>INDEXED</v>
      </c>
      <c r="O26" s="1" t="s">
        <v>18</v>
      </c>
      <c r="P26" s="1" t="s">
        <v>19</v>
      </c>
      <c r="Q26" s="1"/>
      <c r="R26" s="1"/>
      <c r="S26" s="1"/>
      <c r="T26" s="1"/>
      <c r="U26" s="1"/>
    </row>
    <row r="27" spans="1:21" x14ac:dyDescent="0.2">
      <c r="A27" s="7" t="s">
        <v>47</v>
      </c>
      <c r="B27" s="7">
        <v>5</v>
      </c>
      <c r="C27" s="7">
        <v>5</v>
      </c>
      <c r="D27" s="7" t="str">
        <f>IF(B27=C27,"MATCH","MISMATCH")</f>
        <v>MATCH</v>
      </c>
      <c r="E27" s="7">
        <f>IF(F27="None",1,0)</f>
        <v>1</v>
      </c>
      <c r="F27" s="7" t="s">
        <v>17</v>
      </c>
      <c r="G27" s="7">
        <v>0</v>
      </c>
      <c r="H27" s="7">
        <v>0</v>
      </c>
      <c r="I27" s="7">
        <f>IF(AND(E27=0,G27=0),1,0)</f>
        <v>0</v>
      </c>
      <c r="J27" s="7">
        <f>IF(AND(E27=0,H27=0),1,0)</f>
        <v>0</v>
      </c>
      <c r="K27" s="7">
        <f>I27*'05 Methodology'!$B$7</f>
        <v>0</v>
      </c>
      <c r="L27" s="7">
        <f>J27*'05 Methodology'!$B$7</f>
        <v>0</v>
      </c>
      <c r="M27" s="7" t="str">
        <f>IF(G27=1,"FLAG / HOLD","INDEXED")</f>
        <v>INDEXED</v>
      </c>
      <c r="N27" s="1" t="str">
        <f>IF(H27=1,"FLAG / HOLD","INDEXED")</f>
        <v>INDEXED</v>
      </c>
      <c r="O27" s="1" t="s">
        <v>18</v>
      </c>
      <c r="P27" s="1" t="s">
        <v>19</v>
      </c>
      <c r="Q27" s="1"/>
      <c r="R27" s="1"/>
      <c r="S27" s="1"/>
      <c r="T27" s="1"/>
      <c r="U27" s="1"/>
    </row>
    <row r="28" spans="1:21" x14ac:dyDescent="0.2">
      <c r="A28" s="7" t="s">
        <v>48</v>
      </c>
      <c r="B28" s="7">
        <v>6</v>
      </c>
      <c r="C28" s="7">
        <v>6</v>
      </c>
      <c r="D28" s="7" t="str">
        <f>IF(B28=C28,"MATCH","MISMATCH")</f>
        <v>MATCH</v>
      </c>
      <c r="E28" s="7">
        <f>IF(F28="None",1,0)</f>
        <v>1</v>
      </c>
      <c r="F28" s="7" t="s">
        <v>17</v>
      </c>
      <c r="G28" s="7">
        <v>0</v>
      </c>
      <c r="H28" s="7">
        <v>0</v>
      </c>
      <c r="I28" s="7">
        <f>IF(AND(E28=0,G28=0),1,0)</f>
        <v>0</v>
      </c>
      <c r="J28" s="7">
        <f>IF(AND(E28=0,H28=0),1,0)</f>
        <v>0</v>
      </c>
      <c r="K28" s="7">
        <f>I28*'05 Methodology'!$B$7</f>
        <v>0</v>
      </c>
      <c r="L28" s="7">
        <f>J28*'05 Methodology'!$B$7</f>
        <v>0</v>
      </c>
      <c r="M28" s="7" t="str">
        <f>IF(G28=1,"FLAG / HOLD","INDEXED")</f>
        <v>INDEXED</v>
      </c>
      <c r="N28" s="1" t="str">
        <f>IF(H28=1,"FLAG / HOLD","INDEXED")</f>
        <v>INDEXED</v>
      </c>
      <c r="O28" s="1" t="s">
        <v>18</v>
      </c>
      <c r="P28" s="1" t="s">
        <v>19</v>
      </c>
      <c r="Q28" s="1"/>
      <c r="R28" s="1"/>
      <c r="S28" s="1"/>
      <c r="T28" s="1"/>
      <c r="U28" s="1"/>
    </row>
    <row r="29" spans="1:21" x14ac:dyDescent="0.2">
      <c r="A29" s="7" t="s">
        <v>49</v>
      </c>
      <c r="B29" s="7">
        <v>6</v>
      </c>
      <c r="C29" s="7">
        <v>6</v>
      </c>
      <c r="D29" s="7" t="str">
        <f>IF(B29=C29,"MATCH","MISMATCH")</f>
        <v>MATCH</v>
      </c>
      <c r="E29" s="7">
        <f>IF(F29="None",1,0)</f>
        <v>1</v>
      </c>
      <c r="F29" s="7" t="s">
        <v>17</v>
      </c>
      <c r="G29" s="7">
        <v>0</v>
      </c>
      <c r="H29" s="7">
        <v>0</v>
      </c>
      <c r="I29" s="7">
        <f>IF(AND(E29=0,G29=0),1,0)</f>
        <v>0</v>
      </c>
      <c r="J29" s="7">
        <f>IF(AND(E29=0,H29=0),1,0)</f>
        <v>0</v>
      </c>
      <c r="K29" s="7">
        <f>I29*'05 Methodology'!$B$7</f>
        <v>0</v>
      </c>
      <c r="L29" s="7">
        <f>J29*'05 Methodology'!$B$7</f>
        <v>0</v>
      </c>
      <c r="M29" s="7" t="str">
        <f>IF(G29=1,"FLAG / HOLD","INDEXED")</f>
        <v>INDEXED</v>
      </c>
      <c r="N29" s="1" t="str">
        <f>IF(H29=1,"FLAG / HOLD","INDEXED")</f>
        <v>INDEXED</v>
      </c>
      <c r="O29" s="1" t="s">
        <v>18</v>
      </c>
      <c r="P29" s="1" t="s">
        <v>19</v>
      </c>
      <c r="Q29" s="1"/>
      <c r="R29" s="1"/>
      <c r="S29" s="1"/>
      <c r="T29" s="1"/>
      <c r="U29" s="1"/>
    </row>
    <row r="30" spans="1:21" x14ac:dyDescent="0.2">
      <c r="A30" s="7" t="s">
        <v>50</v>
      </c>
      <c r="B30" s="7">
        <v>8</v>
      </c>
      <c r="C30" s="7">
        <v>8</v>
      </c>
      <c r="D30" s="7" t="str">
        <f>IF(B30=C30,"MATCH","MISMATCH")</f>
        <v>MATCH</v>
      </c>
      <c r="E30" s="7">
        <f>IF(F30="None",1,0)</f>
        <v>1</v>
      </c>
      <c r="F30" s="7" t="s">
        <v>17</v>
      </c>
      <c r="G30" s="7">
        <v>0</v>
      </c>
      <c r="H30" s="7">
        <v>0</v>
      </c>
      <c r="I30" s="7">
        <f>IF(AND(E30=0,G30=0),1,0)</f>
        <v>0</v>
      </c>
      <c r="J30" s="7">
        <f>IF(AND(E30=0,H30=0),1,0)</f>
        <v>0</v>
      </c>
      <c r="K30" s="7">
        <f>I30*'05 Methodology'!$B$7</f>
        <v>0</v>
      </c>
      <c r="L30" s="7">
        <f>J30*'05 Methodology'!$B$7</f>
        <v>0</v>
      </c>
      <c r="M30" s="7" t="str">
        <f>IF(G30=1,"FLAG / HOLD","INDEXED")</f>
        <v>INDEXED</v>
      </c>
      <c r="N30" s="1" t="str">
        <f>IF(H30=1,"FLAG / HOLD","INDEXED")</f>
        <v>INDEXED</v>
      </c>
      <c r="O30" s="1" t="s">
        <v>18</v>
      </c>
      <c r="P30" s="1" t="s">
        <v>19</v>
      </c>
      <c r="Q30" s="1"/>
      <c r="R30" s="1"/>
      <c r="S30" s="1"/>
      <c r="T30" s="1"/>
      <c r="U30" s="1"/>
    </row>
    <row r="31" spans="1:21" x14ac:dyDescent="0.2">
      <c r="A31" s="7" t="s">
        <v>51</v>
      </c>
      <c r="B31" s="7">
        <v>4</v>
      </c>
      <c r="C31" s="7">
        <v>4</v>
      </c>
      <c r="D31" s="7" t="str">
        <f>IF(B31=C31,"MATCH","MISMATCH")</f>
        <v>MATCH</v>
      </c>
      <c r="E31" s="7">
        <f>IF(F31="None",1,0)</f>
        <v>1</v>
      </c>
      <c r="F31" s="7" t="s">
        <v>17</v>
      </c>
      <c r="G31" s="7">
        <v>0</v>
      </c>
      <c r="H31" s="7">
        <v>0</v>
      </c>
      <c r="I31" s="7">
        <f>IF(AND(E31=0,G31=0),1,0)</f>
        <v>0</v>
      </c>
      <c r="J31" s="7">
        <f>IF(AND(E31=0,H31=0),1,0)</f>
        <v>0</v>
      </c>
      <c r="K31" s="7">
        <f>I31*'05 Methodology'!$B$7</f>
        <v>0</v>
      </c>
      <c r="L31" s="7">
        <f>J31*'05 Methodology'!$B$7</f>
        <v>0</v>
      </c>
      <c r="M31" s="7" t="str">
        <f>IF(G31=1,"FLAG / HOLD","INDEXED")</f>
        <v>INDEXED</v>
      </c>
      <c r="N31" s="1" t="str">
        <f>IF(H31=1,"FLAG / HOLD","INDEXED")</f>
        <v>INDEXED</v>
      </c>
      <c r="O31" s="1" t="s">
        <v>18</v>
      </c>
      <c r="P31" s="1" t="s">
        <v>19</v>
      </c>
      <c r="Q31" s="1"/>
      <c r="R31" s="1"/>
      <c r="S31" s="1"/>
      <c r="T31" s="1"/>
      <c r="U31" s="1"/>
    </row>
    <row r="32" spans="1:21" x14ac:dyDescent="0.2">
      <c r="A32" s="7" t="s">
        <v>52</v>
      </c>
      <c r="B32" s="7">
        <v>5</v>
      </c>
      <c r="C32" s="7">
        <v>4</v>
      </c>
      <c r="D32" s="7" t="str">
        <f>IF(B32=C32,"MATCH","MISMATCH")</f>
        <v>MISMATCH</v>
      </c>
      <c r="E32" s="7">
        <f>IF(F32="None",1,0)</f>
        <v>0</v>
      </c>
      <c r="F32" s="7" t="s">
        <v>38</v>
      </c>
      <c r="G32" s="7">
        <v>0</v>
      </c>
      <c r="H32" s="7">
        <v>1</v>
      </c>
      <c r="I32" s="7">
        <f>IF(AND(E32=0,G32=0),1,0)</f>
        <v>1</v>
      </c>
      <c r="J32" s="7">
        <f>IF(AND(E32=0,H32=0),1,0)</f>
        <v>0</v>
      </c>
      <c r="K32" s="7">
        <f>I32*'05 Methodology'!$B$7</f>
        <v>20</v>
      </c>
      <c r="L32" s="7">
        <f>J32*'05 Methodology'!$B$7</f>
        <v>0</v>
      </c>
      <c r="M32" s="7" t="str">
        <f>IF(G32=1,"FLAG / HOLD","INDEXED")</f>
        <v>INDEXED</v>
      </c>
      <c r="N32" s="1" t="str">
        <f>IF(H32=1,"FLAG / HOLD","INDEXED")</f>
        <v>FLAG / HOLD</v>
      </c>
      <c r="O32" s="1" t="s">
        <v>18</v>
      </c>
      <c r="P32" s="1" t="s">
        <v>19</v>
      </c>
      <c r="Q32" s="1"/>
      <c r="R32" s="1"/>
      <c r="S32" s="1"/>
      <c r="T32" s="1"/>
      <c r="U32" s="1"/>
    </row>
    <row r="33" spans="1:21" x14ac:dyDescent="0.2">
      <c r="A33" s="7" t="s">
        <v>53</v>
      </c>
      <c r="B33" s="7">
        <v>6</v>
      </c>
      <c r="C33" s="7">
        <v>6</v>
      </c>
      <c r="D33" s="7" t="str">
        <f>IF(B33=C33,"MATCH","MISMATCH")</f>
        <v>MATCH</v>
      </c>
      <c r="E33" s="7">
        <f>IF(F33="None",1,0)</f>
        <v>1</v>
      </c>
      <c r="F33" s="7" t="s">
        <v>17</v>
      </c>
      <c r="G33" s="7">
        <v>0</v>
      </c>
      <c r="H33" s="7">
        <v>0</v>
      </c>
      <c r="I33" s="7">
        <f>IF(AND(E33=0,G33=0),1,0)</f>
        <v>0</v>
      </c>
      <c r="J33" s="7">
        <f>IF(AND(E33=0,H33=0),1,0)</f>
        <v>0</v>
      </c>
      <c r="K33" s="7">
        <f>I33*'05 Methodology'!$B$7</f>
        <v>0</v>
      </c>
      <c r="L33" s="7">
        <f>J33*'05 Methodology'!$B$7</f>
        <v>0</v>
      </c>
      <c r="M33" s="7" t="str">
        <f>IF(G33=1,"FLAG / HOLD","INDEXED")</f>
        <v>INDEXED</v>
      </c>
      <c r="N33" s="1" t="str">
        <f>IF(H33=1,"FLAG / HOLD","INDEXED")</f>
        <v>INDEXED</v>
      </c>
      <c r="O33" s="1" t="s">
        <v>18</v>
      </c>
      <c r="P33" s="1" t="s">
        <v>19</v>
      </c>
      <c r="Q33" s="1"/>
      <c r="R33" s="1"/>
      <c r="S33" s="1"/>
      <c r="T33" s="1"/>
      <c r="U33" s="1"/>
    </row>
    <row r="34" spans="1:21" x14ac:dyDescent="0.2">
      <c r="A34" s="7" t="s">
        <v>54</v>
      </c>
      <c r="B34" s="7">
        <v>7</v>
      </c>
      <c r="C34" s="7">
        <v>7</v>
      </c>
      <c r="D34" s="7" t="str">
        <f>IF(B34=C34,"MATCH","MISMATCH")</f>
        <v>MATCH</v>
      </c>
      <c r="E34" s="7">
        <f>IF(F34="None",1,0)</f>
        <v>1</v>
      </c>
      <c r="F34" s="7" t="s">
        <v>17</v>
      </c>
      <c r="G34" s="7">
        <v>0</v>
      </c>
      <c r="H34" s="7">
        <v>0</v>
      </c>
      <c r="I34" s="7">
        <f>IF(AND(E34=0,G34=0),1,0)</f>
        <v>0</v>
      </c>
      <c r="J34" s="7">
        <f>IF(AND(E34=0,H34=0),1,0)</f>
        <v>0</v>
      </c>
      <c r="K34" s="7">
        <f>I34*'05 Methodology'!$B$7</f>
        <v>0</v>
      </c>
      <c r="L34" s="7">
        <f>J34*'05 Methodology'!$B$7</f>
        <v>0</v>
      </c>
      <c r="M34" s="7" t="str">
        <f>IF(G34=1,"FLAG / HOLD","INDEXED")</f>
        <v>INDEXED</v>
      </c>
      <c r="N34" s="1" t="str">
        <f>IF(H34=1,"FLAG / HOLD","INDEXED")</f>
        <v>INDEXED</v>
      </c>
      <c r="O34" s="1" t="s">
        <v>18</v>
      </c>
      <c r="P34" s="1" t="s">
        <v>19</v>
      </c>
      <c r="Q34" s="1"/>
      <c r="R34" s="1"/>
      <c r="S34" s="1"/>
      <c r="T34" s="1"/>
      <c r="U34" s="1"/>
    </row>
    <row r="35" spans="1:21" x14ac:dyDescent="0.2">
      <c r="A35" s="7" t="s">
        <v>55</v>
      </c>
      <c r="B35" s="7">
        <v>8</v>
      </c>
      <c r="C35" s="7">
        <v>8</v>
      </c>
      <c r="D35" s="7" t="str">
        <f>IF(B35=C35,"MATCH","MISMATCH")</f>
        <v>MATCH</v>
      </c>
      <c r="E35" s="7">
        <f>IF(F35="None",1,0)</f>
        <v>1</v>
      </c>
      <c r="F35" s="7" t="s">
        <v>17</v>
      </c>
      <c r="G35" s="7">
        <v>0</v>
      </c>
      <c r="H35" s="7">
        <v>0</v>
      </c>
      <c r="I35" s="7">
        <f>IF(AND(E35=0,G35=0),1,0)</f>
        <v>0</v>
      </c>
      <c r="J35" s="7">
        <f>IF(AND(E35=0,H35=0),1,0)</f>
        <v>0</v>
      </c>
      <c r="K35" s="7">
        <f>I35*'05 Methodology'!$B$7</f>
        <v>0</v>
      </c>
      <c r="L35" s="7">
        <f>J35*'05 Methodology'!$B$7</f>
        <v>0</v>
      </c>
      <c r="M35" s="7" t="str">
        <f>IF(G35=1,"FLAG / HOLD","INDEXED")</f>
        <v>INDEXED</v>
      </c>
      <c r="N35" s="1" t="str">
        <f>IF(H35=1,"FLAG / HOLD","INDEXED")</f>
        <v>INDEXED</v>
      </c>
      <c r="O35" s="1" t="s">
        <v>18</v>
      </c>
      <c r="P35" s="1" t="s">
        <v>19</v>
      </c>
      <c r="Q35" s="1"/>
      <c r="R35" s="1"/>
      <c r="S35" s="1"/>
      <c r="T35" s="1"/>
      <c r="U35" s="1"/>
    </row>
    <row r="36" spans="1:21" x14ac:dyDescent="0.2">
      <c r="A36" s="7" t="s">
        <v>56</v>
      </c>
      <c r="B36" s="7">
        <v>6</v>
      </c>
      <c r="C36" s="7">
        <v>6</v>
      </c>
      <c r="D36" s="7" t="str">
        <f>IF(B36=C36,"MATCH","MISMATCH")</f>
        <v>MATCH</v>
      </c>
      <c r="E36" s="7">
        <f>IF(F36="None",1,0)</f>
        <v>1</v>
      </c>
      <c r="F36" s="7" t="s">
        <v>17</v>
      </c>
      <c r="G36" s="7">
        <v>0</v>
      </c>
      <c r="H36" s="7">
        <v>0</v>
      </c>
      <c r="I36" s="7">
        <f>IF(AND(E36=0,G36=0),1,0)</f>
        <v>0</v>
      </c>
      <c r="J36" s="7">
        <f>IF(AND(E36=0,H36=0),1,0)</f>
        <v>0</v>
      </c>
      <c r="K36" s="7">
        <f>I36*'05 Methodology'!$B$7</f>
        <v>0</v>
      </c>
      <c r="L36" s="7">
        <f>J36*'05 Methodology'!$B$7</f>
        <v>0</v>
      </c>
      <c r="M36" s="7" t="str">
        <f>IF(G36=1,"FLAG / HOLD","INDEXED")</f>
        <v>INDEXED</v>
      </c>
      <c r="N36" s="1" t="str">
        <f>IF(H36=1,"FLAG / HOLD","INDEXED")</f>
        <v>INDEXED</v>
      </c>
      <c r="O36" s="1" t="s">
        <v>18</v>
      </c>
      <c r="P36" s="1" t="s">
        <v>19</v>
      </c>
      <c r="Q36" s="1"/>
      <c r="R36" s="1"/>
      <c r="S36" s="1"/>
      <c r="T36" s="1"/>
      <c r="U36" s="1"/>
    </row>
    <row r="37" spans="1:21" x14ac:dyDescent="0.2">
      <c r="A37" s="7" t="s">
        <v>57</v>
      </c>
      <c r="B37" s="7">
        <v>5</v>
      </c>
      <c r="C37" s="7">
        <v>5</v>
      </c>
      <c r="D37" s="7" t="str">
        <f>IF(B37=C37,"MATCH","MISMATCH")</f>
        <v>MATCH</v>
      </c>
      <c r="E37" s="7">
        <f>IF(F37="None",1,0)</f>
        <v>1</v>
      </c>
      <c r="F37" s="7" t="s">
        <v>17</v>
      </c>
      <c r="G37" s="7">
        <v>0</v>
      </c>
      <c r="H37" s="7">
        <v>0</v>
      </c>
      <c r="I37" s="7">
        <f>IF(AND(E37=0,G37=0),1,0)</f>
        <v>0</v>
      </c>
      <c r="J37" s="7">
        <f>IF(AND(E37=0,H37=0),1,0)</f>
        <v>0</v>
      </c>
      <c r="K37" s="7">
        <f>I37*'05 Methodology'!$B$7</f>
        <v>0</v>
      </c>
      <c r="L37" s="7">
        <f>J37*'05 Methodology'!$B$7</f>
        <v>0</v>
      </c>
      <c r="M37" s="7" t="str">
        <f>IF(G37=1,"FLAG / HOLD","INDEXED")</f>
        <v>INDEXED</v>
      </c>
      <c r="N37" s="1" t="str">
        <f>IF(H37=1,"FLAG / HOLD","INDEXED")</f>
        <v>INDEXED</v>
      </c>
      <c r="O37" s="1" t="s">
        <v>18</v>
      </c>
      <c r="P37" s="1" t="s">
        <v>19</v>
      </c>
      <c r="Q37" s="1"/>
      <c r="R37" s="1"/>
      <c r="S37" s="1"/>
      <c r="T37" s="1"/>
      <c r="U37" s="1"/>
    </row>
    <row r="38" spans="1:21" x14ac:dyDescent="0.2">
      <c r="A38" s="7" t="s">
        <v>58</v>
      </c>
      <c r="B38" s="7">
        <v>6</v>
      </c>
      <c r="C38" s="7">
        <v>6</v>
      </c>
      <c r="D38" s="7" t="str">
        <f>IF(B38=C38,"MATCH","MISMATCH")</f>
        <v>MATCH</v>
      </c>
      <c r="E38" s="7">
        <f>IF(F38="None",1,0)</f>
        <v>1</v>
      </c>
      <c r="F38" s="7" t="s">
        <v>17</v>
      </c>
      <c r="G38" s="7">
        <v>0</v>
      </c>
      <c r="H38" s="7">
        <v>0</v>
      </c>
      <c r="I38" s="7">
        <f>IF(AND(E38=0,G38=0),1,0)</f>
        <v>0</v>
      </c>
      <c r="J38" s="7">
        <f>IF(AND(E38=0,H38=0),1,0)</f>
        <v>0</v>
      </c>
      <c r="K38" s="7">
        <f>I38*'05 Methodology'!$B$7</f>
        <v>0</v>
      </c>
      <c r="L38" s="7">
        <f>J38*'05 Methodology'!$B$7</f>
        <v>0</v>
      </c>
      <c r="M38" s="7" t="str">
        <f>IF(G38=1,"FLAG / HOLD","INDEXED")</f>
        <v>INDEXED</v>
      </c>
      <c r="N38" s="1" t="str">
        <f>IF(H38=1,"FLAG / HOLD","INDEXED")</f>
        <v>INDEXED</v>
      </c>
      <c r="O38" s="1" t="s">
        <v>18</v>
      </c>
      <c r="P38" s="1" t="s">
        <v>19</v>
      </c>
      <c r="Q38" s="1"/>
      <c r="R38" s="1"/>
      <c r="S38" s="1"/>
      <c r="T38" s="1"/>
      <c r="U38" s="1"/>
    </row>
    <row r="39" spans="1:21" x14ac:dyDescent="0.2">
      <c r="A39" s="7" t="s">
        <v>59</v>
      </c>
      <c r="B39" s="7">
        <v>7</v>
      </c>
      <c r="C39" s="7">
        <v>7</v>
      </c>
      <c r="D39" s="7" t="str">
        <f>IF(B39=C39,"MATCH","MISMATCH")</f>
        <v>MATCH</v>
      </c>
      <c r="E39" s="7">
        <f>IF(F39="None",1,0)</f>
        <v>1</v>
      </c>
      <c r="F39" s="7" t="s">
        <v>17</v>
      </c>
      <c r="G39" s="7">
        <v>0</v>
      </c>
      <c r="H39" s="7">
        <v>0</v>
      </c>
      <c r="I39" s="7">
        <f>IF(AND(E39=0,G39=0),1,0)</f>
        <v>0</v>
      </c>
      <c r="J39" s="7">
        <f>IF(AND(E39=0,H39=0),1,0)</f>
        <v>0</v>
      </c>
      <c r="K39" s="7">
        <f>I39*'05 Methodology'!$B$7</f>
        <v>0</v>
      </c>
      <c r="L39" s="7">
        <f>J39*'05 Methodology'!$B$7</f>
        <v>0</v>
      </c>
      <c r="M39" s="7" t="str">
        <f>IF(G39=1,"FLAG / HOLD","INDEXED")</f>
        <v>INDEXED</v>
      </c>
      <c r="N39" s="1" t="str">
        <f>IF(H39=1,"FLAG / HOLD","INDEXED")</f>
        <v>INDEXED</v>
      </c>
      <c r="O39" s="1" t="s">
        <v>18</v>
      </c>
      <c r="P39" s="1" t="s">
        <v>19</v>
      </c>
      <c r="Q39" s="1"/>
      <c r="R39" s="1"/>
      <c r="S39" s="1"/>
      <c r="T39" s="1"/>
      <c r="U39" s="1"/>
    </row>
    <row r="40" spans="1:21" x14ac:dyDescent="0.2">
      <c r="A40" s="7" t="s">
        <v>60</v>
      </c>
      <c r="B40" s="7">
        <v>8</v>
      </c>
      <c r="C40" s="7">
        <v>8</v>
      </c>
      <c r="D40" s="7" t="str">
        <f>IF(B40=C40,"MATCH","MISMATCH")</f>
        <v>MATCH</v>
      </c>
      <c r="E40" s="7">
        <f>IF(F40="None",1,0)</f>
        <v>1</v>
      </c>
      <c r="F40" s="7" t="s">
        <v>17</v>
      </c>
      <c r="G40" s="7">
        <v>0</v>
      </c>
      <c r="H40" s="7">
        <v>0</v>
      </c>
      <c r="I40" s="7">
        <f>IF(AND(E40=0,G40=0),1,0)</f>
        <v>0</v>
      </c>
      <c r="J40" s="7">
        <f>IF(AND(E40=0,H40=0),1,0)</f>
        <v>0</v>
      </c>
      <c r="K40" s="7">
        <f>I40*'05 Methodology'!$B$7</f>
        <v>0</v>
      </c>
      <c r="L40" s="7">
        <f>J40*'05 Methodology'!$B$7</f>
        <v>0</v>
      </c>
      <c r="M40" s="7" t="str">
        <f>IF(G40=1,"FLAG / HOLD","INDEXED")</f>
        <v>INDEXED</v>
      </c>
      <c r="N40" s="1" t="str">
        <f>IF(H40=1,"FLAG / HOLD","INDEXED")</f>
        <v>INDEXED</v>
      </c>
      <c r="O40" s="1" t="s">
        <v>18</v>
      </c>
      <c r="P40" s="1" t="s">
        <v>19</v>
      </c>
      <c r="Q40" s="1"/>
      <c r="R40" s="1"/>
      <c r="S40" s="1"/>
      <c r="T40" s="1"/>
      <c r="U40" s="1"/>
    </row>
    <row r="41" spans="1:21" x14ac:dyDescent="0.2">
      <c r="A41" s="7" t="s">
        <v>61</v>
      </c>
      <c r="B41" s="7">
        <v>4</v>
      </c>
      <c r="C41" s="7">
        <v>4</v>
      </c>
      <c r="D41" s="7" t="str">
        <f>IF(B41=C41,"MATCH","MISMATCH")</f>
        <v>MATCH</v>
      </c>
      <c r="E41" s="7">
        <f>IF(F41="None",1,0)</f>
        <v>1</v>
      </c>
      <c r="F41" s="7" t="s">
        <v>17</v>
      </c>
      <c r="G41" s="7">
        <v>0</v>
      </c>
      <c r="H41" s="7">
        <v>0</v>
      </c>
      <c r="I41" s="7">
        <f>IF(AND(E41=0,G41=0),1,0)</f>
        <v>0</v>
      </c>
      <c r="J41" s="7">
        <f>IF(AND(E41=0,H41=0),1,0)</f>
        <v>0</v>
      </c>
      <c r="K41" s="7">
        <f>I41*'05 Methodology'!$B$7</f>
        <v>0</v>
      </c>
      <c r="L41" s="7">
        <f>J41*'05 Methodology'!$B$7</f>
        <v>0</v>
      </c>
      <c r="M41" s="7" t="str">
        <f>IF(G41=1,"FLAG / HOLD","INDEXED")</f>
        <v>INDEXED</v>
      </c>
      <c r="N41" s="1" t="str">
        <f>IF(H41=1,"FLAG / HOLD","INDEXED")</f>
        <v>INDEXED</v>
      </c>
      <c r="O41" s="1" t="s">
        <v>18</v>
      </c>
      <c r="P41" s="1" t="s">
        <v>19</v>
      </c>
      <c r="Q41" s="1"/>
      <c r="R41" s="1"/>
      <c r="S41" s="1"/>
      <c r="T41" s="1"/>
      <c r="U41" s="1"/>
    </row>
    <row r="42" spans="1:21" x14ac:dyDescent="0.2">
      <c r="A42" s="7" t="s">
        <v>62</v>
      </c>
      <c r="B42" s="7">
        <v>5</v>
      </c>
      <c r="C42" s="7">
        <v>5</v>
      </c>
      <c r="D42" s="7" t="str">
        <f>IF(B42=C42,"MATCH","MISMATCH")</f>
        <v>MATCH</v>
      </c>
      <c r="E42" s="7">
        <f>IF(F42="None",1,0)</f>
        <v>1</v>
      </c>
      <c r="F42" s="7" t="s">
        <v>17</v>
      </c>
      <c r="G42" s="7">
        <v>0</v>
      </c>
      <c r="H42" s="7">
        <v>0</v>
      </c>
      <c r="I42" s="7">
        <f>IF(AND(E42=0,G42=0),1,0)</f>
        <v>0</v>
      </c>
      <c r="J42" s="7">
        <f>IF(AND(E42=0,H42=0),1,0)</f>
        <v>0</v>
      </c>
      <c r="K42" s="7">
        <f>I42*'05 Methodology'!$B$7</f>
        <v>0</v>
      </c>
      <c r="L42" s="7">
        <f>J42*'05 Methodology'!$B$7</f>
        <v>0</v>
      </c>
      <c r="M42" s="7" t="str">
        <f>IF(G42=1,"FLAG / HOLD","INDEXED")</f>
        <v>INDEXED</v>
      </c>
      <c r="N42" s="1" t="str">
        <f>IF(H42=1,"FLAG / HOLD","INDEXED")</f>
        <v>INDEXED</v>
      </c>
      <c r="O42" s="1" t="s">
        <v>18</v>
      </c>
      <c r="P42" s="1" t="s">
        <v>19</v>
      </c>
      <c r="Q42" s="1"/>
      <c r="R42" s="1"/>
      <c r="S42" s="1"/>
      <c r="T42" s="1"/>
      <c r="U42" s="1"/>
    </row>
    <row r="43" spans="1:21" x14ac:dyDescent="0.2">
      <c r="A43" s="7" t="s">
        <v>63</v>
      </c>
      <c r="B43" s="7">
        <v>6</v>
      </c>
      <c r="C43" s="7">
        <v>6</v>
      </c>
      <c r="D43" s="7" t="str">
        <f>IF(B43=C43,"MATCH","MISMATCH")</f>
        <v>MATCH</v>
      </c>
      <c r="E43" s="7">
        <f>IF(F43="None",1,0)</f>
        <v>1</v>
      </c>
      <c r="F43" s="7" t="s">
        <v>17</v>
      </c>
      <c r="G43" s="7">
        <v>0</v>
      </c>
      <c r="H43" s="7">
        <v>0</v>
      </c>
      <c r="I43" s="7">
        <f>IF(AND(E43=0,G43=0),1,0)</f>
        <v>0</v>
      </c>
      <c r="J43" s="7">
        <f>IF(AND(E43=0,H43=0),1,0)</f>
        <v>0</v>
      </c>
      <c r="K43" s="7">
        <f>I43*'05 Methodology'!$B$7</f>
        <v>0</v>
      </c>
      <c r="L43" s="7">
        <f>J43*'05 Methodology'!$B$7</f>
        <v>0</v>
      </c>
      <c r="M43" s="7" t="str">
        <f>IF(G43=1,"FLAG / HOLD","INDEXED")</f>
        <v>INDEXED</v>
      </c>
      <c r="N43" s="1" t="str">
        <f>IF(H43=1,"FLAG / HOLD","INDEXED")</f>
        <v>INDEXED</v>
      </c>
      <c r="O43" s="1" t="s">
        <v>18</v>
      </c>
      <c r="P43" s="1" t="s">
        <v>19</v>
      </c>
      <c r="Q43" s="1"/>
      <c r="R43" s="1"/>
      <c r="S43" s="1"/>
      <c r="T43" s="1"/>
      <c r="U43" s="1"/>
    </row>
    <row r="44" spans="1:21" x14ac:dyDescent="0.2">
      <c r="A44" s="7" t="s">
        <v>64</v>
      </c>
      <c r="B44" s="7">
        <v>7</v>
      </c>
      <c r="C44" s="7">
        <v>7</v>
      </c>
      <c r="D44" s="7" t="str">
        <f>IF(B44=C44,"MATCH","MISMATCH")</f>
        <v>MATCH</v>
      </c>
      <c r="E44" s="7">
        <f>IF(F44="None",1,0)</f>
        <v>1</v>
      </c>
      <c r="F44" s="7" t="s">
        <v>17</v>
      </c>
      <c r="G44" s="7">
        <v>0</v>
      </c>
      <c r="H44" s="7">
        <v>0</v>
      </c>
      <c r="I44" s="7">
        <f>IF(AND(E44=0,G44=0),1,0)</f>
        <v>0</v>
      </c>
      <c r="J44" s="7">
        <f>IF(AND(E44=0,H44=0),1,0)</f>
        <v>0</v>
      </c>
      <c r="K44" s="7">
        <f>I44*'05 Methodology'!$B$7</f>
        <v>0</v>
      </c>
      <c r="L44" s="7">
        <f>J44*'05 Methodology'!$B$7</f>
        <v>0</v>
      </c>
      <c r="M44" s="7" t="str">
        <f>IF(G44=1,"FLAG / HOLD","INDEXED")</f>
        <v>INDEXED</v>
      </c>
      <c r="N44" s="1" t="str">
        <f>IF(H44=1,"FLAG / HOLD","INDEXED")</f>
        <v>INDEXED</v>
      </c>
      <c r="O44" s="1" t="s">
        <v>18</v>
      </c>
      <c r="P44" s="1" t="s">
        <v>19</v>
      </c>
      <c r="Q44" s="1"/>
      <c r="R44" s="1"/>
      <c r="S44" s="1"/>
      <c r="T44" s="1"/>
      <c r="U44" s="1"/>
    </row>
    <row r="45" spans="1:21" x14ac:dyDescent="0.2">
      <c r="A45" s="7" t="s">
        <v>65</v>
      </c>
      <c r="B45" s="7">
        <v>8</v>
      </c>
      <c r="C45" s="7">
        <v>8</v>
      </c>
      <c r="D45" s="7" t="str">
        <f>IF(B45=C45,"MATCH","MISMATCH")</f>
        <v>MATCH</v>
      </c>
      <c r="E45" s="7">
        <f>IF(F45="None",1,0)</f>
        <v>1</v>
      </c>
      <c r="F45" s="7" t="s">
        <v>17</v>
      </c>
      <c r="G45" s="7">
        <v>0</v>
      </c>
      <c r="H45" s="7">
        <v>0</v>
      </c>
      <c r="I45" s="7">
        <f>IF(AND(E45=0,G45=0),1,0)</f>
        <v>0</v>
      </c>
      <c r="J45" s="7">
        <f>IF(AND(E45=0,H45=0),1,0)</f>
        <v>0</v>
      </c>
      <c r="K45" s="7">
        <f>I45*'05 Methodology'!$B$7</f>
        <v>0</v>
      </c>
      <c r="L45" s="7">
        <f>J45*'05 Methodology'!$B$7</f>
        <v>0</v>
      </c>
      <c r="M45" s="7" t="str">
        <f>IF(G45=1,"FLAG / HOLD","INDEXED")</f>
        <v>INDEXED</v>
      </c>
      <c r="N45" s="1" t="str">
        <f>IF(H45=1,"FLAG / HOLD","INDEXED")</f>
        <v>INDEXED</v>
      </c>
      <c r="O45" s="1" t="s">
        <v>18</v>
      </c>
      <c r="P45" s="1" t="s">
        <v>19</v>
      </c>
      <c r="Q45" s="1"/>
      <c r="R45" s="1"/>
      <c r="S45" s="1"/>
      <c r="T45" s="1"/>
      <c r="U45" s="1"/>
    </row>
    <row r="46" spans="1:21" x14ac:dyDescent="0.2">
      <c r="A46" s="7" t="s">
        <v>66</v>
      </c>
      <c r="B46" s="7">
        <v>4</v>
      </c>
      <c r="C46" s="7">
        <v>4</v>
      </c>
      <c r="D46" s="7" t="str">
        <f>IF(B46=C46,"MATCH","MISMATCH")</f>
        <v>MATCH</v>
      </c>
      <c r="E46" s="7">
        <f>IF(F46="None",1,0)</f>
        <v>1</v>
      </c>
      <c r="F46" s="7" t="s">
        <v>17</v>
      </c>
      <c r="G46" s="7">
        <v>0</v>
      </c>
      <c r="H46" s="7">
        <v>0</v>
      </c>
      <c r="I46" s="7">
        <f>IF(AND(E46=0,G46=0),1,0)</f>
        <v>0</v>
      </c>
      <c r="J46" s="7">
        <f>IF(AND(E46=0,H46=0),1,0)</f>
        <v>0</v>
      </c>
      <c r="K46" s="7">
        <f>I46*'05 Methodology'!$B$7</f>
        <v>0</v>
      </c>
      <c r="L46" s="7">
        <f>J46*'05 Methodology'!$B$7</f>
        <v>0</v>
      </c>
      <c r="M46" s="7" t="str">
        <f>IF(G46=1,"FLAG / HOLD","INDEXED")</f>
        <v>INDEXED</v>
      </c>
      <c r="N46" s="1" t="str">
        <f>IF(H46=1,"FLAG / HOLD","INDEXED")</f>
        <v>INDEXED</v>
      </c>
      <c r="O46" s="1" t="s">
        <v>18</v>
      </c>
      <c r="P46" s="1" t="s">
        <v>19</v>
      </c>
      <c r="Q46" s="1"/>
      <c r="R46" s="1"/>
      <c r="S46" s="1"/>
      <c r="T46" s="1"/>
      <c r="U46" s="1"/>
    </row>
    <row r="47" spans="1:21" x14ac:dyDescent="0.2">
      <c r="A47" s="7" t="s">
        <v>67</v>
      </c>
      <c r="B47" s="7">
        <v>5</v>
      </c>
      <c r="C47" s="7">
        <v>5</v>
      </c>
      <c r="D47" s="7" t="str">
        <f>IF(B47=C47,"MATCH","MISMATCH")</f>
        <v>MATCH</v>
      </c>
      <c r="E47" s="7">
        <f>IF(F47="None",1,0)</f>
        <v>1</v>
      </c>
      <c r="F47" s="7" t="s">
        <v>17</v>
      </c>
      <c r="G47" s="7">
        <v>0</v>
      </c>
      <c r="H47" s="7">
        <v>0</v>
      </c>
      <c r="I47" s="7">
        <f>IF(AND(E47=0,G47=0),1,0)</f>
        <v>0</v>
      </c>
      <c r="J47" s="7">
        <f>IF(AND(E47=0,H47=0),1,0)</f>
        <v>0</v>
      </c>
      <c r="K47" s="7">
        <f>I47*'05 Methodology'!$B$7</f>
        <v>0</v>
      </c>
      <c r="L47" s="7">
        <f>J47*'05 Methodology'!$B$7</f>
        <v>0</v>
      </c>
      <c r="M47" s="7" t="str">
        <f>IF(G47=1,"FLAG / HOLD","INDEXED")</f>
        <v>INDEXED</v>
      </c>
      <c r="N47" s="1" t="str">
        <f>IF(H47=1,"FLAG / HOLD","INDEXED")</f>
        <v>INDEXED</v>
      </c>
      <c r="O47" s="1" t="s">
        <v>18</v>
      </c>
      <c r="P47" s="1" t="s">
        <v>19</v>
      </c>
      <c r="Q47" s="1"/>
      <c r="R47" s="1"/>
      <c r="S47" s="1"/>
      <c r="T47" s="1"/>
      <c r="U47" s="1"/>
    </row>
    <row r="48" spans="1:21" x14ac:dyDescent="0.2">
      <c r="A48" s="7" t="s">
        <v>68</v>
      </c>
      <c r="B48" s="7">
        <v>6</v>
      </c>
      <c r="C48" s="7">
        <v>6</v>
      </c>
      <c r="D48" s="7" t="str">
        <f>IF(B48=C48,"MATCH","MISMATCH")</f>
        <v>MATCH</v>
      </c>
      <c r="E48" s="7">
        <f>IF(F48="None",1,0)</f>
        <v>1</v>
      </c>
      <c r="F48" s="7" t="s">
        <v>17</v>
      </c>
      <c r="G48" s="7">
        <v>0</v>
      </c>
      <c r="H48" s="7">
        <v>0</v>
      </c>
      <c r="I48" s="7">
        <f>IF(AND(E48=0,G48=0),1,0)</f>
        <v>0</v>
      </c>
      <c r="J48" s="7">
        <f>IF(AND(E48=0,H48=0),1,0)</f>
        <v>0</v>
      </c>
      <c r="K48" s="7">
        <f>I48*'05 Methodology'!$B$7</f>
        <v>0</v>
      </c>
      <c r="L48" s="7">
        <f>J48*'05 Methodology'!$B$7</f>
        <v>0</v>
      </c>
      <c r="M48" s="7" t="str">
        <f>IF(G48=1,"FLAG / HOLD","INDEXED")</f>
        <v>INDEXED</v>
      </c>
      <c r="N48" s="1" t="str">
        <f>IF(H48=1,"FLAG / HOLD","INDEXED")</f>
        <v>INDEXED</v>
      </c>
      <c r="O48" s="1" t="s">
        <v>18</v>
      </c>
      <c r="P48" s="1" t="s">
        <v>19</v>
      </c>
      <c r="Q48" s="1"/>
      <c r="R48" s="1"/>
      <c r="S48" s="1"/>
      <c r="T48" s="1"/>
      <c r="U48" s="1"/>
    </row>
    <row r="49" spans="1:21" x14ac:dyDescent="0.2">
      <c r="A49" s="7" t="s">
        <v>69</v>
      </c>
      <c r="B49" s="7">
        <v>7</v>
      </c>
      <c r="C49" s="7">
        <v>7</v>
      </c>
      <c r="D49" s="7" t="str">
        <f>IF(B49=C49,"MATCH","MISMATCH")</f>
        <v>MATCH</v>
      </c>
      <c r="E49" s="7">
        <f>IF(F49="None",1,0)</f>
        <v>1</v>
      </c>
      <c r="F49" s="7" t="s">
        <v>17</v>
      </c>
      <c r="G49" s="7">
        <v>0</v>
      </c>
      <c r="H49" s="7">
        <v>0</v>
      </c>
      <c r="I49" s="7">
        <f>IF(AND(E49=0,G49=0),1,0)</f>
        <v>0</v>
      </c>
      <c r="J49" s="7">
        <f>IF(AND(E49=0,H49=0),1,0)</f>
        <v>0</v>
      </c>
      <c r="K49" s="7">
        <f>I49*'05 Methodology'!$B$7</f>
        <v>0</v>
      </c>
      <c r="L49" s="7">
        <f>J49*'05 Methodology'!$B$7</f>
        <v>0</v>
      </c>
      <c r="M49" s="7" t="str">
        <f>IF(G49=1,"FLAG / HOLD","INDEXED")</f>
        <v>INDEXED</v>
      </c>
      <c r="N49" s="1" t="str">
        <f>IF(H49=1,"FLAG / HOLD","INDEXED")</f>
        <v>INDEXED</v>
      </c>
      <c r="O49" s="1" t="s">
        <v>18</v>
      </c>
      <c r="P49" s="1" t="s">
        <v>19</v>
      </c>
      <c r="Q49" s="1"/>
      <c r="R49" s="1"/>
      <c r="S49" s="1"/>
      <c r="T49" s="1"/>
      <c r="U49" s="1"/>
    </row>
    <row r="50" spans="1:21" x14ac:dyDescent="0.2">
      <c r="A50" s="7" t="s">
        <v>70</v>
      </c>
      <c r="B50" s="7">
        <v>6</v>
      </c>
      <c r="C50" s="7">
        <v>6</v>
      </c>
      <c r="D50" s="7" t="str">
        <f>IF(B50=C50,"MATCH","MISMATCH")</f>
        <v>MATCH</v>
      </c>
      <c r="E50" s="7">
        <f>IF(F50="None",1,0)</f>
        <v>1</v>
      </c>
      <c r="F50" s="7" t="s">
        <v>17</v>
      </c>
      <c r="G50" s="7">
        <v>0</v>
      </c>
      <c r="H50" s="7">
        <v>0</v>
      </c>
      <c r="I50" s="7">
        <f>IF(AND(E50=0,G50=0),1,0)</f>
        <v>0</v>
      </c>
      <c r="J50" s="7">
        <f>IF(AND(E50=0,H50=0),1,0)</f>
        <v>0</v>
      </c>
      <c r="K50" s="7">
        <f>I50*'05 Methodology'!$B$7</f>
        <v>0</v>
      </c>
      <c r="L50" s="7">
        <f>J50*'05 Methodology'!$B$7</f>
        <v>0</v>
      </c>
      <c r="M50" s="7" t="str">
        <f>IF(G50=1,"FLAG / HOLD","INDEXED")</f>
        <v>INDEXED</v>
      </c>
      <c r="N50" s="1" t="str">
        <f>IF(H50=1,"FLAG / HOLD","INDEXED")</f>
        <v>INDEXED</v>
      </c>
      <c r="O50" s="1" t="s">
        <v>18</v>
      </c>
      <c r="P50" s="1" t="s">
        <v>19</v>
      </c>
      <c r="Q50" s="1"/>
      <c r="R50" s="1"/>
      <c r="S50" s="1"/>
      <c r="T50" s="1"/>
      <c r="U50" s="1"/>
    </row>
    <row r="51" spans="1:21" x14ac:dyDescent="0.2">
      <c r="A51" s="7" t="s">
        <v>71</v>
      </c>
      <c r="B51" s="7">
        <v>4</v>
      </c>
      <c r="C51" s="7">
        <v>4</v>
      </c>
      <c r="D51" s="7" t="str">
        <f>IF(B51=C51,"MATCH","MISMATCH")</f>
        <v>MATCH</v>
      </c>
      <c r="E51" s="7">
        <f>IF(F51="None",1,0)</f>
        <v>1</v>
      </c>
      <c r="F51" s="7" t="s">
        <v>17</v>
      </c>
      <c r="G51" s="7">
        <v>0</v>
      </c>
      <c r="H51" s="7">
        <v>0</v>
      </c>
      <c r="I51" s="7">
        <f>IF(AND(E51=0,G51=0),1,0)</f>
        <v>0</v>
      </c>
      <c r="J51" s="7">
        <f>IF(AND(E51=0,H51=0),1,0)</f>
        <v>0</v>
      </c>
      <c r="K51" s="7">
        <f>I51*'05 Methodology'!$B$7</f>
        <v>0</v>
      </c>
      <c r="L51" s="7">
        <f>J51*'05 Methodology'!$B$7</f>
        <v>0</v>
      </c>
      <c r="M51" s="7" t="str">
        <f>IF(G51=1,"FLAG / HOLD","INDEXED")</f>
        <v>INDEXED</v>
      </c>
      <c r="N51" s="1" t="str">
        <f>IF(H51=1,"FLAG / HOLD","INDEXED")</f>
        <v>INDEXED</v>
      </c>
      <c r="O51" s="1" t="s">
        <v>18</v>
      </c>
      <c r="P51" s="1" t="s">
        <v>19</v>
      </c>
      <c r="Q51" s="1"/>
      <c r="R51" s="1"/>
      <c r="S51" s="1"/>
      <c r="T51" s="1"/>
      <c r="U51" s="1"/>
    </row>
    <row r="52" spans="1:21" x14ac:dyDescent="0.2">
      <c r="A52" s="7" t="s">
        <v>72</v>
      </c>
      <c r="B52" s="7">
        <v>5</v>
      </c>
      <c r="C52" s="7">
        <v>5</v>
      </c>
      <c r="D52" s="7" t="str">
        <f>IF(B52=C52,"MATCH","MISMATCH")</f>
        <v>MATCH</v>
      </c>
      <c r="E52" s="7">
        <f>IF(F52="None",1,0)</f>
        <v>1</v>
      </c>
      <c r="F52" s="7" t="s">
        <v>17</v>
      </c>
      <c r="G52" s="7">
        <v>0</v>
      </c>
      <c r="H52" s="7">
        <v>0</v>
      </c>
      <c r="I52" s="7">
        <f>IF(AND(E52=0,G52=0),1,0)</f>
        <v>0</v>
      </c>
      <c r="J52" s="7">
        <f>IF(AND(E52=0,H52=0),1,0)</f>
        <v>0</v>
      </c>
      <c r="K52" s="7">
        <f>I52*'05 Methodology'!$B$7</f>
        <v>0</v>
      </c>
      <c r="L52" s="7">
        <f>J52*'05 Methodology'!$B$7</f>
        <v>0</v>
      </c>
      <c r="M52" s="7" t="str">
        <f>IF(G52=1,"FLAG / HOLD","INDEXED")</f>
        <v>INDEXED</v>
      </c>
      <c r="N52" s="1" t="str">
        <f>IF(H52=1,"FLAG / HOLD","INDEXED")</f>
        <v>INDEXED</v>
      </c>
      <c r="O52" s="1" t="s">
        <v>18</v>
      </c>
      <c r="P52" s="1" t="s">
        <v>19</v>
      </c>
      <c r="Q52" s="1"/>
      <c r="R52" s="1"/>
      <c r="S52" s="1"/>
      <c r="T52" s="1"/>
      <c r="U52" s="1"/>
    </row>
    <row r="53" spans="1:21" x14ac:dyDescent="0.2">
      <c r="A53" s="7" t="s">
        <v>73</v>
      </c>
      <c r="B53" s="7">
        <v>6</v>
      </c>
      <c r="C53" s="7">
        <v>6</v>
      </c>
      <c r="D53" s="7" t="str">
        <f>IF(B53=C53,"MATCH","MISMATCH")</f>
        <v>MATCH</v>
      </c>
      <c r="E53" s="7">
        <f>IF(F53="None",1,0)</f>
        <v>1</v>
      </c>
      <c r="F53" s="7" t="s">
        <v>17</v>
      </c>
      <c r="G53" s="7">
        <v>0</v>
      </c>
      <c r="H53" s="7">
        <v>0</v>
      </c>
      <c r="I53" s="7">
        <f>IF(AND(E53=0,G53=0),1,0)</f>
        <v>0</v>
      </c>
      <c r="J53" s="7">
        <f>IF(AND(E53=0,H53=0),1,0)</f>
        <v>0</v>
      </c>
      <c r="K53" s="7">
        <f>I53*'05 Methodology'!$B$7</f>
        <v>0</v>
      </c>
      <c r="L53" s="7">
        <f>J53*'05 Methodology'!$B$7</f>
        <v>0</v>
      </c>
      <c r="M53" s="7" t="str">
        <f>IF(G53=1,"FLAG / HOLD","INDEXED")</f>
        <v>INDEXED</v>
      </c>
      <c r="N53" s="1" t="str">
        <f>IF(H53=1,"FLAG / HOLD","INDEXED")</f>
        <v>INDEXED</v>
      </c>
      <c r="O53" s="1" t="s">
        <v>18</v>
      </c>
      <c r="P53" s="1" t="s">
        <v>19</v>
      </c>
      <c r="Q53" s="1"/>
      <c r="R53" s="1"/>
      <c r="S53" s="1"/>
      <c r="T53" s="1"/>
      <c r="U53" s="1"/>
    </row>
    <row r="54" spans="1:21" x14ac:dyDescent="0.2">
      <c r="A54" s="7" t="s">
        <v>74</v>
      </c>
      <c r="B54" s="7">
        <v>7</v>
      </c>
      <c r="C54" s="7">
        <v>7</v>
      </c>
      <c r="D54" s="7" t="str">
        <f>IF(B54=C54,"MATCH","MISMATCH")</f>
        <v>MATCH</v>
      </c>
      <c r="E54" s="7">
        <f>IF(F54="None",1,0)</f>
        <v>1</v>
      </c>
      <c r="F54" s="7" t="s">
        <v>17</v>
      </c>
      <c r="G54" s="7">
        <v>0</v>
      </c>
      <c r="H54" s="7">
        <v>0</v>
      </c>
      <c r="I54" s="7">
        <f>IF(AND(E54=0,G54=0),1,0)</f>
        <v>0</v>
      </c>
      <c r="J54" s="7">
        <f>IF(AND(E54=0,H54=0),1,0)</f>
        <v>0</v>
      </c>
      <c r="K54" s="7">
        <f>I54*'05 Methodology'!$B$7</f>
        <v>0</v>
      </c>
      <c r="L54" s="7">
        <f>J54*'05 Methodology'!$B$7</f>
        <v>0</v>
      </c>
      <c r="M54" s="7" t="str">
        <f>IF(G54=1,"FLAG / HOLD","INDEXED")</f>
        <v>INDEXED</v>
      </c>
      <c r="N54" s="1" t="str">
        <f>IF(H54=1,"FLAG / HOLD","INDEXED")</f>
        <v>INDEXED</v>
      </c>
      <c r="O54" s="1" t="s">
        <v>18</v>
      </c>
      <c r="P54" s="1" t="s">
        <v>19</v>
      </c>
      <c r="Q54" s="1"/>
      <c r="R54" s="1"/>
      <c r="S54" s="1"/>
      <c r="T54" s="1"/>
      <c r="U54" s="1"/>
    </row>
    <row r="55" spans="1:21" x14ac:dyDescent="0.2">
      <c r="A55" s="7" t="s">
        <v>75</v>
      </c>
      <c r="B55" s="7">
        <v>8</v>
      </c>
      <c r="C55" s="7">
        <v>8</v>
      </c>
      <c r="D55" s="7" t="str">
        <f>IF(B55=C55,"MATCH","MISMATCH")</f>
        <v>MATCH</v>
      </c>
      <c r="E55" s="7">
        <f>IF(F55="None",1,0)</f>
        <v>1</v>
      </c>
      <c r="F55" s="7" t="s">
        <v>17</v>
      </c>
      <c r="G55" s="7">
        <v>0</v>
      </c>
      <c r="H55" s="7">
        <v>0</v>
      </c>
      <c r="I55" s="7">
        <f>IF(AND(E55=0,G55=0),1,0)</f>
        <v>0</v>
      </c>
      <c r="J55" s="7">
        <f>IF(AND(E55=0,H55=0),1,0)</f>
        <v>0</v>
      </c>
      <c r="K55" s="7">
        <f>I55*'05 Methodology'!$B$7</f>
        <v>0</v>
      </c>
      <c r="L55" s="7">
        <f>J55*'05 Methodology'!$B$7</f>
        <v>0</v>
      </c>
      <c r="M55" s="7" t="str">
        <f>IF(G55=1,"FLAG / HOLD","INDEXED")</f>
        <v>INDEXED</v>
      </c>
      <c r="N55" s="1" t="str">
        <f>IF(H55=1,"FLAG / HOLD","INDEXED")</f>
        <v>INDEXED</v>
      </c>
      <c r="O55" s="1" t="s">
        <v>18</v>
      </c>
      <c r="P55" s="1" t="s">
        <v>19</v>
      </c>
      <c r="Q55" s="1"/>
      <c r="R55" s="1"/>
      <c r="S55" s="1"/>
      <c r="T55" s="1"/>
      <c r="U55" s="1"/>
    </row>
    <row r="56" spans="1:21" x14ac:dyDescent="0.2">
      <c r="A56" s="7" t="s">
        <v>76</v>
      </c>
      <c r="B56" s="7">
        <v>4</v>
      </c>
      <c r="C56" s="7">
        <v>4</v>
      </c>
      <c r="D56" s="7" t="str">
        <f>IF(B56=C56,"MATCH","MISMATCH")</f>
        <v>MATCH</v>
      </c>
      <c r="E56" s="7">
        <f>IF(F56="None",1,0)</f>
        <v>1</v>
      </c>
      <c r="F56" s="7" t="s">
        <v>17</v>
      </c>
      <c r="G56" s="7">
        <v>0</v>
      </c>
      <c r="H56" s="7">
        <v>0</v>
      </c>
      <c r="I56" s="7">
        <f>IF(AND(E56=0,G56=0),1,0)</f>
        <v>0</v>
      </c>
      <c r="J56" s="7">
        <f>IF(AND(E56=0,H56=0),1,0)</f>
        <v>0</v>
      </c>
      <c r="K56" s="7">
        <f>I56*'05 Methodology'!$B$7</f>
        <v>0</v>
      </c>
      <c r="L56" s="7">
        <f>J56*'05 Methodology'!$B$7</f>
        <v>0</v>
      </c>
      <c r="M56" s="7" t="str">
        <f>IF(G56=1,"FLAG / HOLD","INDEXED")</f>
        <v>INDEXED</v>
      </c>
      <c r="N56" s="1" t="str">
        <f>IF(H56=1,"FLAG / HOLD","INDEXED")</f>
        <v>INDEXED</v>
      </c>
      <c r="O56" s="1" t="s">
        <v>18</v>
      </c>
      <c r="P56" s="1" t="s">
        <v>19</v>
      </c>
      <c r="Q56" s="1"/>
      <c r="R56" s="1"/>
      <c r="S56" s="1"/>
      <c r="T56" s="1"/>
      <c r="U56" s="1"/>
    </row>
    <row r="57" spans="1:21" x14ac:dyDescent="0.2">
      <c r="A57" s="7" t="s">
        <v>77</v>
      </c>
      <c r="B57" s="7">
        <v>6</v>
      </c>
      <c r="C57" s="7">
        <v>6</v>
      </c>
      <c r="D57" s="7" t="str">
        <f>IF(B57=C57,"MATCH","MISMATCH")</f>
        <v>MATCH</v>
      </c>
      <c r="E57" s="7">
        <f>IF(F57="None",1,0)</f>
        <v>1</v>
      </c>
      <c r="F57" s="7" t="s">
        <v>17</v>
      </c>
      <c r="G57" s="7">
        <v>0</v>
      </c>
      <c r="H57" s="7">
        <v>0</v>
      </c>
      <c r="I57" s="7">
        <f>IF(AND(E57=0,G57=0),1,0)</f>
        <v>0</v>
      </c>
      <c r="J57" s="7">
        <f>IF(AND(E57=0,H57=0),1,0)</f>
        <v>0</v>
      </c>
      <c r="K57" s="7">
        <f>I57*'05 Methodology'!$B$7</f>
        <v>0</v>
      </c>
      <c r="L57" s="7">
        <f>J57*'05 Methodology'!$B$7</f>
        <v>0</v>
      </c>
      <c r="M57" s="7" t="str">
        <f>IF(G57=1,"FLAG / HOLD","INDEXED")</f>
        <v>INDEXED</v>
      </c>
      <c r="N57" s="1" t="str">
        <f>IF(H57=1,"FLAG / HOLD","INDEXED")</f>
        <v>INDEXED</v>
      </c>
      <c r="O57" s="1" t="s">
        <v>18</v>
      </c>
      <c r="P57" s="1" t="s">
        <v>19</v>
      </c>
      <c r="Q57" s="1"/>
      <c r="R57" s="1"/>
      <c r="S57" s="1"/>
      <c r="T57" s="1"/>
      <c r="U57" s="1"/>
    </row>
    <row r="58" spans="1:21" x14ac:dyDescent="0.2">
      <c r="A58" s="7" t="s">
        <v>78</v>
      </c>
      <c r="B58" s="7">
        <v>6</v>
      </c>
      <c r="C58" s="7">
        <v>6</v>
      </c>
      <c r="D58" s="7" t="str">
        <f>IF(B58=C58,"MATCH","MISMATCH")</f>
        <v>MATCH</v>
      </c>
      <c r="E58" s="7">
        <f>IF(F58="None",1,0)</f>
        <v>1</v>
      </c>
      <c r="F58" s="7" t="s">
        <v>17</v>
      </c>
      <c r="G58" s="7">
        <v>0</v>
      </c>
      <c r="H58" s="7">
        <v>0</v>
      </c>
      <c r="I58" s="7">
        <f>IF(AND(E58=0,G58=0),1,0)</f>
        <v>0</v>
      </c>
      <c r="J58" s="7">
        <f>IF(AND(E58=0,H58=0),1,0)</f>
        <v>0</v>
      </c>
      <c r="K58" s="7">
        <f>I58*'05 Methodology'!$B$7</f>
        <v>0</v>
      </c>
      <c r="L58" s="7">
        <f>J58*'05 Methodology'!$B$7</f>
        <v>0</v>
      </c>
      <c r="M58" s="7" t="str">
        <f>IF(G58=1,"FLAG / HOLD","INDEXED")</f>
        <v>INDEXED</v>
      </c>
      <c r="N58" s="1" t="str">
        <f>IF(H58=1,"FLAG / HOLD","INDEXED")</f>
        <v>INDEXED</v>
      </c>
      <c r="O58" s="1" t="s">
        <v>18</v>
      </c>
      <c r="P58" s="1" t="s">
        <v>19</v>
      </c>
      <c r="Q58" s="1"/>
      <c r="R58" s="1"/>
      <c r="S58" s="1"/>
      <c r="T58" s="1"/>
      <c r="U58" s="1"/>
    </row>
    <row r="59" spans="1:21" x14ac:dyDescent="0.2">
      <c r="A59" s="7" t="s">
        <v>79</v>
      </c>
      <c r="B59" s="7">
        <v>7</v>
      </c>
      <c r="C59" s="7">
        <v>7</v>
      </c>
      <c r="D59" s="7" t="str">
        <f>IF(B59=C59,"MATCH","MISMATCH")</f>
        <v>MATCH</v>
      </c>
      <c r="E59" s="7">
        <f>IF(F59="None",1,0)</f>
        <v>1</v>
      </c>
      <c r="F59" s="7" t="s">
        <v>17</v>
      </c>
      <c r="G59" s="7">
        <v>0</v>
      </c>
      <c r="H59" s="7">
        <v>0</v>
      </c>
      <c r="I59" s="7">
        <f>IF(AND(E59=0,G59=0),1,0)</f>
        <v>0</v>
      </c>
      <c r="J59" s="7">
        <f>IF(AND(E59=0,H59=0),1,0)</f>
        <v>0</v>
      </c>
      <c r="K59" s="7">
        <f>I59*'05 Methodology'!$B$7</f>
        <v>0</v>
      </c>
      <c r="L59" s="7">
        <f>J59*'05 Methodology'!$B$7</f>
        <v>0</v>
      </c>
      <c r="M59" s="7" t="str">
        <f>IF(G59=1,"FLAG / HOLD","INDEXED")</f>
        <v>INDEXED</v>
      </c>
      <c r="N59" s="1" t="str">
        <f>IF(H59=1,"FLAG / HOLD","INDEXED")</f>
        <v>INDEXED</v>
      </c>
      <c r="O59" s="1" t="s">
        <v>18</v>
      </c>
      <c r="P59" s="1" t="s">
        <v>19</v>
      </c>
      <c r="Q59" s="1"/>
      <c r="R59" s="1"/>
      <c r="S59" s="1"/>
      <c r="T59" s="1"/>
      <c r="U59" s="1"/>
    </row>
    <row r="60" spans="1:21" x14ac:dyDescent="0.2">
      <c r="A60" s="7" t="s">
        <v>80</v>
      </c>
      <c r="B60" s="7">
        <v>8</v>
      </c>
      <c r="C60" s="7">
        <v>8</v>
      </c>
      <c r="D60" s="7" t="str">
        <f>IF(B60=C60,"MATCH","MISMATCH")</f>
        <v>MATCH</v>
      </c>
      <c r="E60" s="7">
        <f>IF(F60="None",1,0)</f>
        <v>1</v>
      </c>
      <c r="F60" s="7" t="s">
        <v>17</v>
      </c>
      <c r="G60" s="7">
        <v>0</v>
      </c>
      <c r="H60" s="7">
        <v>0</v>
      </c>
      <c r="I60" s="7">
        <f>IF(AND(E60=0,G60=0),1,0)</f>
        <v>0</v>
      </c>
      <c r="J60" s="7">
        <f>IF(AND(E60=0,H60=0),1,0)</f>
        <v>0</v>
      </c>
      <c r="K60" s="7">
        <f>I60*'05 Methodology'!$B$7</f>
        <v>0</v>
      </c>
      <c r="L60" s="7">
        <f>J60*'05 Methodology'!$B$7</f>
        <v>0</v>
      </c>
      <c r="M60" s="7" t="str">
        <f>IF(G60=1,"FLAG / HOLD","INDEXED")</f>
        <v>INDEXED</v>
      </c>
      <c r="N60" s="1" t="str">
        <f>IF(H60=1,"FLAG / HOLD","INDEXED")</f>
        <v>INDEXED</v>
      </c>
      <c r="O60" s="1" t="s">
        <v>18</v>
      </c>
      <c r="P60" s="1" t="s">
        <v>19</v>
      </c>
      <c r="Q60" s="1"/>
      <c r="R60" s="1"/>
      <c r="S60" s="1"/>
      <c r="T60" s="1"/>
      <c r="U60" s="1"/>
    </row>
    <row r="61" spans="1:21" x14ac:dyDescent="0.2">
      <c r="A61" s="7" t="s">
        <v>81</v>
      </c>
      <c r="B61" s="7">
        <v>4</v>
      </c>
      <c r="C61" s="7">
        <v>4</v>
      </c>
      <c r="D61" s="7" t="str">
        <f>IF(B61=C61,"MATCH","MISMATCH")</f>
        <v>MATCH</v>
      </c>
      <c r="E61" s="7">
        <f>IF(F61="None",1,0)</f>
        <v>1</v>
      </c>
      <c r="F61" s="7" t="s">
        <v>17</v>
      </c>
      <c r="G61" s="7">
        <v>0</v>
      </c>
      <c r="H61" s="7">
        <v>0</v>
      </c>
      <c r="I61" s="7">
        <f>IF(AND(E61=0,G61=0),1,0)</f>
        <v>0</v>
      </c>
      <c r="J61" s="7">
        <f>IF(AND(E61=0,H61=0),1,0)</f>
        <v>0</v>
      </c>
      <c r="K61" s="7">
        <f>I61*'05 Methodology'!$B$7</f>
        <v>0</v>
      </c>
      <c r="L61" s="7">
        <f>J61*'05 Methodology'!$B$7</f>
        <v>0</v>
      </c>
      <c r="M61" s="7" t="str">
        <f>IF(G61=1,"FLAG / HOLD","INDEXED")</f>
        <v>INDEXED</v>
      </c>
      <c r="N61" s="1" t="str">
        <f>IF(H61=1,"FLAG / HOLD","INDEXED")</f>
        <v>INDEXED</v>
      </c>
      <c r="O61" s="1" t="s">
        <v>18</v>
      </c>
      <c r="P61" s="1" t="s">
        <v>19</v>
      </c>
      <c r="Q61" s="1"/>
      <c r="R61" s="1"/>
      <c r="S61" s="1"/>
      <c r="T61" s="1"/>
      <c r="U61" s="1"/>
    </row>
    <row r="62" spans="1:21" x14ac:dyDescent="0.2">
      <c r="A62" s="7" t="s">
        <v>82</v>
      </c>
      <c r="B62" s="7">
        <v>5</v>
      </c>
      <c r="C62" s="7">
        <v>5</v>
      </c>
      <c r="D62" s="7" t="str">
        <f>IF(B62=C62,"MATCH","MISMATCH")</f>
        <v>MATCH</v>
      </c>
      <c r="E62" s="7">
        <f>IF(F62="None",1,0)</f>
        <v>1</v>
      </c>
      <c r="F62" s="7" t="s">
        <v>17</v>
      </c>
      <c r="G62" s="7">
        <v>0</v>
      </c>
      <c r="H62" s="7">
        <v>0</v>
      </c>
      <c r="I62" s="7">
        <f>IF(AND(E62=0,G62=0),1,0)</f>
        <v>0</v>
      </c>
      <c r="J62" s="7">
        <f>IF(AND(E62=0,H62=0),1,0)</f>
        <v>0</v>
      </c>
      <c r="K62" s="7">
        <f>I62*'05 Methodology'!$B$7</f>
        <v>0</v>
      </c>
      <c r="L62" s="7">
        <f>J62*'05 Methodology'!$B$7</f>
        <v>0</v>
      </c>
      <c r="M62" s="7" t="str">
        <f>IF(G62=1,"FLAG / HOLD","INDEXED")</f>
        <v>INDEXED</v>
      </c>
      <c r="N62" s="1" t="str">
        <f>IF(H62=1,"FLAG / HOLD","INDEXED")</f>
        <v>INDEXED</v>
      </c>
      <c r="O62" s="1" t="s">
        <v>18</v>
      </c>
      <c r="P62" s="1" t="s">
        <v>19</v>
      </c>
      <c r="Q62" s="1"/>
      <c r="R62" s="1"/>
      <c r="S62" s="1"/>
      <c r="T62" s="1"/>
      <c r="U62" s="1"/>
    </row>
    <row r="63" spans="1:21" x14ac:dyDescent="0.2">
      <c r="A63" s="7" t="s">
        <v>83</v>
      </c>
      <c r="B63" s="7">
        <v>6</v>
      </c>
      <c r="C63" s="7">
        <v>5</v>
      </c>
      <c r="D63" s="7" t="str">
        <f>IF(B63=C63,"MATCH","MISMATCH")</f>
        <v>MISMATCH</v>
      </c>
      <c r="E63" s="7">
        <f>IF(F63="None",1,0)</f>
        <v>0</v>
      </c>
      <c r="F63" s="7" t="s">
        <v>38</v>
      </c>
      <c r="G63" s="7">
        <v>1</v>
      </c>
      <c r="H63" s="7">
        <v>1</v>
      </c>
      <c r="I63" s="7">
        <f>IF(AND(E63=0,G63=0),1,0)</f>
        <v>0</v>
      </c>
      <c r="J63" s="7">
        <f>IF(AND(E63=0,H63=0),1,0)</f>
        <v>0</v>
      </c>
      <c r="K63" s="7">
        <f>I63*'05 Methodology'!$B$7</f>
        <v>0</v>
      </c>
      <c r="L63" s="7">
        <f>J63*'05 Methodology'!$B$7</f>
        <v>0</v>
      </c>
      <c r="M63" s="7" t="str">
        <f>IF(G63=1,"FLAG / HOLD","INDEXED")</f>
        <v>FLAG / HOLD</v>
      </c>
      <c r="N63" s="1" t="str">
        <f>IF(H63=1,"FLAG / HOLD","INDEXED")</f>
        <v>FLAG / HOLD</v>
      </c>
      <c r="O63" s="1" t="s">
        <v>18</v>
      </c>
      <c r="P63" s="1" t="s">
        <v>19</v>
      </c>
      <c r="Q63" s="1"/>
      <c r="R63" s="1"/>
      <c r="S63" s="1"/>
      <c r="T63" s="1"/>
      <c r="U63" s="1"/>
    </row>
    <row r="64" spans="1:21" x14ac:dyDescent="0.2">
      <c r="A64" s="7" t="s">
        <v>84</v>
      </c>
      <c r="B64" s="7">
        <v>6</v>
      </c>
      <c r="C64" s="7">
        <v>6</v>
      </c>
      <c r="D64" s="7" t="str">
        <f>IF(B64=C64,"MATCH","MISMATCH")</f>
        <v>MATCH</v>
      </c>
      <c r="E64" s="7">
        <f>IF(F64="None",1,0)</f>
        <v>1</v>
      </c>
      <c r="F64" s="7" t="s">
        <v>17</v>
      </c>
      <c r="G64" s="7">
        <v>0</v>
      </c>
      <c r="H64" s="7">
        <v>0</v>
      </c>
      <c r="I64" s="7">
        <f>IF(AND(E64=0,G64=0),1,0)</f>
        <v>0</v>
      </c>
      <c r="J64" s="7">
        <f>IF(AND(E64=0,H64=0),1,0)</f>
        <v>0</v>
      </c>
      <c r="K64" s="7">
        <f>I64*'05 Methodology'!$B$7</f>
        <v>0</v>
      </c>
      <c r="L64" s="7">
        <f>J64*'05 Methodology'!$B$7</f>
        <v>0</v>
      </c>
      <c r="M64" s="7" t="str">
        <f>IF(G64=1,"FLAG / HOLD","INDEXED")</f>
        <v>INDEXED</v>
      </c>
      <c r="N64" s="1" t="str">
        <f>IF(H64=1,"FLAG / HOLD","INDEXED")</f>
        <v>INDEXED</v>
      </c>
      <c r="O64" s="1" t="s">
        <v>18</v>
      </c>
      <c r="P64" s="1" t="s">
        <v>19</v>
      </c>
      <c r="Q64" s="1"/>
      <c r="R64" s="1"/>
      <c r="S64" s="1"/>
      <c r="T64" s="1"/>
      <c r="U64" s="1"/>
    </row>
    <row r="65" spans="1:21" x14ac:dyDescent="0.2">
      <c r="A65" s="7" t="s">
        <v>85</v>
      </c>
      <c r="B65" s="7">
        <v>8</v>
      </c>
      <c r="C65" s="7">
        <v>8</v>
      </c>
      <c r="D65" s="7" t="str">
        <f>IF(B65=C65,"MATCH","MISMATCH")</f>
        <v>MATCH</v>
      </c>
      <c r="E65" s="7">
        <f>IF(F65="None",1,0)</f>
        <v>1</v>
      </c>
      <c r="F65" s="7" t="s">
        <v>17</v>
      </c>
      <c r="G65" s="7">
        <v>0</v>
      </c>
      <c r="H65" s="7">
        <v>0</v>
      </c>
      <c r="I65" s="7">
        <f>IF(AND(E65=0,G65=0),1,0)</f>
        <v>0</v>
      </c>
      <c r="J65" s="7">
        <f>IF(AND(E65=0,H65=0),1,0)</f>
        <v>0</v>
      </c>
      <c r="K65" s="7">
        <f>I65*'05 Methodology'!$B$7</f>
        <v>0</v>
      </c>
      <c r="L65" s="7">
        <f>J65*'05 Methodology'!$B$7</f>
        <v>0</v>
      </c>
      <c r="M65" s="7" t="str">
        <f>IF(G65=1,"FLAG / HOLD","INDEXED")</f>
        <v>INDEXED</v>
      </c>
      <c r="N65" s="1" t="str">
        <f>IF(H65=1,"FLAG / HOLD","INDEXED")</f>
        <v>INDEXED</v>
      </c>
      <c r="O65" s="1" t="s">
        <v>18</v>
      </c>
      <c r="P65" s="1" t="s">
        <v>19</v>
      </c>
      <c r="Q65" s="1"/>
      <c r="R65" s="1"/>
      <c r="S65" s="1"/>
      <c r="T65" s="1"/>
      <c r="U65" s="1"/>
    </row>
    <row r="66" spans="1:21" x14ac:dyDescent="0.2">
      <c r="A66" s="7" t="s">
        <v>86</v>
      </c>
      <c r="B66" s="7">
        <v>4</v>
      </c>
      <c r="C66" s="7">
        <v>4</v>
      </c>
      <c r="D66" s="7" t="str">
        <f>IF(B66=C66,"MATCH","MISMATCH")</f>
        <v>MATCH</v>
      </c>
      <c r="E66" s="7">
        <f>IF(F66="None",1,0)</f>
        <v>1</v>
      </c>
      <c r="F66" s="7" t="s">
        <v>17</v>
      </c>
      <c r="G66" s="7">
        <v>0</v>
      </c>
      <c r="H66" s="7">
        <v>0</v>
      </c>
      <c r="I66" s="7">
        <f>IF(AND(E66=0,G66=0),1,0)</f>
        <v>0</v>
      </c>
      <c r="J66" s="7">
        <f>IF(AND(E66=0,H66=0),1,0)</f>
        <v>0</v>
      </c>
      <c r="K66" s="7">
        <f>I66*'05 Methodology'!$B$7</f>
        <v>0</v>
      </c>
      <c r="L66" s="7">
        <f>J66*'05 Methodology'!$B$7</f>
        <v>0</v>
      </c>
      <c r="M66" s="7" t="str">
        <f>IF(G66=1,"FLAG / HOLD","INDEXED")</f>
        <v>INDEXED</v>
      </c>
      <c r="N66" s="1" t="str">
        <f>IF(H66=1,"FLAG / HOLD","INDEXED")</f>
        <v>INDEXED</v>
      </c>
      <c r="O66" s="1" t="s">
        <v>18</v>
      </c>
      <c r="P66" s="1" t="s">
        <v>19</v>
      </c>
      <c r="Q66" s="1"/>
      <c r="R66" s="1"/>
      <c r="S66" s="1"/>
      <c r="T66" s="1"/>
      <c r="U66" s="1"/>
    </row>
    <row r="67" spans="1:21" x14ac:dyDescent="0.2">
      <c r="A67" s="7" t="s">
        <v>87</v>
      </c>
      <c r="B67" s="7">
        <v>5</v>
      </c>
      <c r="C67" s="7">
        <v>5</v>
      </c>
      <c r="D67" s="7" t="str">
        <f>IF(B67=C67,"MATCH","MISMATCH")</f>
        <v>MATCH</v>
      </c>
      <c r="E67" s="7">
        <f>IF(F67="None",1,0)</f>
        <v>1</v>
      </c>
      <c r="F67" s="7" t="s">
        <v>17</v>
      </c>
      <c r="G67" s="7">
        <v>0</v>
      </c>
      <c r="H67" s="7">
        <v>0</v>
      </c>
      <c r="I67" s="7">
        <f>IF(AND(E67=0,G67=0),1,0)</f>
        <v>0</v>
      </c>
      <c r="J67" s="7">
        <f>IF(AND(E67=0,H67=0),1,0)</f>
        <v>0</v>
      </c>
      <c r="K67" s="7">
        <f>I67*'05 Methodology'!$B$7</f>
        <v>0</v>
      </c>
      <c r="L67" s="7">
        <f>J67*'05 Methodology'!$B$7</f>
        <v>0</v>
      </c>
      <c r="M67" s="7" t="str">
        <f>IF(G67=1,"FLAG / HOLD","INDEXED")</f>
        <v>INDEXED</v>
      </c>
      <c r="N67" s="1" t="str">
        <f>IF(H67=1,"FLAG / HOLD","INDEXED")</f>
        <v>INDEXED</v>
      </c>
      <c r="O67" s="1" t="s">
        <v>18</v>
      </c>
      <c r="P67" s="1" t="s">
        <v>19</v>
      </c>
      <c r="Q67" s="1"/>
      <c r="R67" s="1"/>
      <c r="S67" s="1"/>
      <c r="T67" s="1"/>
      <c r="U67" s="1"/>
    </row>
    <row r="68" spans="1:21" x14ac:dyDescent="0.2">
      <c r="A68" s="7" t="s">
        <v>88</v>
      </c>
      <c r="B68" s="7">
        <v>6</v>
      </c>
      <c r="C68" s="7">
        <v>6</v>
      </c>
      <c r="D68" s="7" t="str">
        <f>IF(B68=C68,"MATCH","MISMATCH")</f>
        <v>MATCH</v>
      </c>
      <c r="E68" s="7">
        <f>IF(F68="None",1,0)</f>
        <v>1</v>
      </c>
      <c r="F68" s="7" t="s">
        <v>17</v>
      </c>
      <c r="G68" s="7">
        <v>0</v>
      </c>
      <c r="H68" s="7">
        <v>0</v>
      </c>
      <c r="I68" s="7">
        <f>IF(AND(E68=0,G68=0),1,0)</f>
        <v>0</v>
      </c>
      <c r="J68" s="7">
        <f>IF(AND(E68=0,H68=0),1,0)</f>
        <v>0</v>
      </c>
      <c r="K68" s="7">
        <f>I68*'05 Methodology'!$B$7</f>
        <v>0</v>
      </c>
      <c r="L68" s="7">
        <f>J68*'05 Methodology'!$B$7</f>
        <v>0</v>
      </c>
      <c r="M68" s="7" t="str">
        <f>IF(G68=1,"FLAG / HOLD","INDEXED")</f>
        <v>INDEXED</v>
      </c>
      <c r="N68" s="1" t="str">
        <f>IF(H68=1,"FLAG / HOLD","INDEXED")</f>
        <v>INDEXED</v>
      </c>
      <c r="O68" s="1" t="s">
        <v>18</v>
      </c>
      <c r="P68" s="1" t="s">
        <v>19</v>
      </c>
      <c r="Q68" s="1"/>
      <c r="R68" s="1"/>
      <c r="S68" s="1"/>
      <c r="T68" s="1"/>
      <c r="U68" s="1"/>
    </row>
    <row r="69" spans="1:21" x14ac:dyDescent="0.2">
      <c r="A69" s="7" t="s">
        <v>89</v>
      </c>
      <c r="B69" s="7">
        <v>7</v>
      </c>
      <c r="C69" s="7">
        <v>7</v>
      </c>
      <c r="D69" s="7" t="str">
        <f>IF(B69=C69,"MATCH","MISMATCH")</f>
        <v>MATCH</v>
      </c>
      <c r="E69" s="7">
        <f>IF(F69="None",1,0)</f>
        <v>1</v>
      </c>
      <c r="F69" s="7" t="s">
        <v>17</v>
      </c>
      <c r="G69" s="7">
        <v>0</v>
      </c>
      <c r="H69" s="7">
        <v>0</v>
      </c>
      <c r="I69" s="7">
        <f>IF(AND(E69=0,G69=0),1,0)</f>
        <v>0</v>
      </c>
      <c r="J69" s="7">
        <f>IF(AND(E69=0,H69=0),1,0)</f>
        <v>0</v>
      </c>
      <c r="K69" s="7">
        <f>I69*'05 Methodology'!$B$7</f>
        <v>0</v>
      </c>
      <c r="L69" s="7">
        <f>J69*'05 Methodology'!$B$7</f>
        <v>0</v>
      </c>
      <c r="M69" s="7" t="str">
        <f>IF(G69=1,"FLAG / HOLD","INDEXED")</f>
        <v>INDEXED</v>
      </c>
      <c r="N69" s="1" t="str">
        <f>IF(H69=1,"FLAG / HOLD","INDEXED")</f>
        <v>INDEXED</v>
      </c>
      <c r="O69" s="1" t="s">
        <v>18</v>
      </c>
      <c r="P69" s="1" t="s">
        <v>19</v>
      </c>
      <c r="Q69" s="1"/>
      <c r="R69" s="1"/>
      <c r="S69" s="1"/>
      <c r="T69" s="1"/>
      <c r="U69" s="1"/>
    </row>
    <row r="70" spans="1:21" x14ac:dyDescent="0.2">
      <c r="A70" s="7" t="s">
        <v>90</v>
      </c>
      <c r="B70" s="7">
        <v>8</v>
      </c>
      <c r="C70" s="7">
        <v>8</v>
      </c>
      <c r="D70" s="7" t="str">
        <f>IF(B70=C70,"MATCH","MISMATCH")</f>
        <v>MATCH</v>
      </c>
      <c r="E70" s="7">
        <f>IF(F70="None",1,0)</f>
        <v>1</v>
      </c>
      <c r="F70" s="7" t="s">
        <v>17</v>
      </c>
      <c r="G70" s="7">
        <v>0</v>
      </c>
      <c r="H70" s="7">
        <v>0</v>
      </c>
      <c r="I70" s="7">
        <f>IF(AND(E70=0,G70=0),1,0)</f>
        <v>0</v>
      </c>
      <c r="J70" s="7">
        <f>IF(AND(E70=0,H70=0),1,0)</f>
        <v>0</v>
      </c>
      <c r="K70" s="7">
        <f>I70*'05 Methodology'!$B$7</f>
        <v>0</v>
      </c>
      <c r="L70" s="7">
        <f>J70*'05 Methodology'!$B$7</f>
        <v>0</v>
      </c>
      <c r="M70" s="7" t="str">
        <f>IF(G70=1,"FLAG / HOLD","INDEXED")</f>
        <v>INDEXED</v>
      </c>
      <c r="N70" s="1" t="str">
        <f>IF(H70=1,"FLAG / HOLD","INDEXED")</f>
        <v>INDEXED</v>
      </c>
      <c r="O70" s="1" t="s">
        <v>18</v>
      </c>
      <c r="P70" s="1" t="s">
        <v>19</v>
      </c>
      <c r="Q70" s="1"/>
      <c r="R70" s="1"/>
      <c r="S70" s="1"/>
      <c r="T70" s="1"/>
      <c r="U70" s="1"/>
    </row>
    <row r="71" spans="1:21" x14ac:dyDescent="0.2">
      <c r="A71" s="7" t="s">
        <v>91</v>
      </c>
      <c r="B71" s="7">
        <v>6</v>
      </c>
      <c r="C71" s="7">
        <v>6</v>
      </c>
      <c r="D71" s="7" t="str">
        <f>IF(B71=C71,"MATCH","MISMATCH")</f>
        <v>MATCH</v>
      </c>
      <c r="E71" s="7">
        <f>IF(F71="None",1,0)</f>
        <v>1</v>
      </c>
      <c r="F71" s="7" t="s">
        <v>17</v>
      </c>
      <c r="G71" s="7">
        <v>0</v>
      </c>
      <c r="H71" s="7">
        <v>0</v>
      </c>
      <c r="I71" s="7">
        <f>IF(AND(E71=0,G71=0),1,0)</f>
        <v>0</v>
      </c>
      <c r="J71" s="7">
        <f>IF(AND(E71=0,H71=0),1,0)</f>
        <v>0</v>
      </c>
      <c r="K71" s="7">
        <f>I71*'05 Methodology'!$B$7</f>
        <v>0</v>
      </c>
      <c r="L71" s="7">
        <f>J71*'05 Methodology'!$B$7</f>
        <v>0</v>
      </c>
      <c r="M71" s="7" t="str">
        <f>IF(G71=1,"FLAG / HOLD","INDEXED")</f>
        <v>INDEXED</v>
      </c>
      <c r="N71" s="1" t="str">
        <f>IF(H71=1,"FLAG / HOLD","INDEXED")</f>
        <v>INDEXED</v>
      </c>
      <c r="O71" s="1" t="s">
        <v>18</v>
      </c>
      <c r="P71" s="1" t="s">
        <v>19</v>
      </c>
      <c r="Q71" s="1"/>
      <c r="R71" s="1"/>
      <c r="S71" s="1"/>
      <c r="T71" s="1"/>
      <c r="U71" s="1"/>
    </row>
    <row r="72" spans="1:21" x14ac:dyDescent="0.2">
      <c r="A72" s="7" t="s">
        <v>92</v>
      </c>
      <c r="B72" s="7">
        <v>5</v>
      </c>
      <c r="C72" s="7">
        <v>5</v>
      </c>
      <c r="D72" s="7" t="str">
        <f>IF(B72=C72,"MATCH","MISMATCH")</f>
        <v>MATCH</v>
      </c>
      <c r="E72" s="7">
        <f>IF(F72="None",1,0)</f>
        <v>1</v>
      </c>
      <c r="F72" s="7" t="s">
        <v>17</v>
      </c>
      <c r="G72" s="7">
        <v>0</v>
      </c>
      <c r="H72" s="7">
        <v>0</v>
      </c>
      <c r="I72" s="7">
        <f>IF(AND(E72=0,G72=0),1,0)</f>
        <v>0</v>
      </c>
      <c r="J72" s="7">
        <f>IF(AND(E72=0,H72=0),1,0)</f>
        <v>0</v>
      </c>
      <c r="K72" s="7">
        <f>I72*'05 Methodology'!$B$7</f>
        <v>0</v>
      </c>
      <c r="L72" s="7">
        <f>J72*'05 Methodology'!$B$7</f>
        <v>0</v>
      </c>
      <c r="M72" s="7" t="str">
        <f>IF(G72=1,"FLAG / HOLD","INDEXED")</f>
        <v>INDEXED</v>
      </c>
      <c r="N72" s="1" t="str">
        <f>IF(H72=1,"FLAG / HOLD","INDEXED")</f>
        <v>INDEXED</v>
      </c>
      <c r="O72" s="1" t="s">
        <v>18</v>
      </c>
      <c r="P72" s="1" t="s">
        <v>19</v>
      </c>
      <c r="Q72" s="1"/>
      <c r="R72" s="1"/>
      <c r="S72" s="1"/>
      <c r="T72" s="1"/>
      <c r="U72" s="1"/>
    </row>
    <row r="73" spans="1:21" x14ac:dyDescent="0.2">
      <c r="A73" s="7" t="s">
        <v>93</v>
      </c>
      <c r="B73" s="7">
        <v>6</v>
      </c>
      <c r="C73" s="7">
        <v>6</v>
      </c>
      <c r="D73" s="7" t="str">
        <f>IF(B73=C73,"MATCH","MISMATCH")</f>
        <v>MATCH</v>
      </c>
      <c r="E73" s="7">
        <f>IF(F73="None",1,0)</f>
        <v>1</v>
      </c>
      <c r="F73" s="7" t="s">
        <v>17</v>
      </c>
      <c r="G73" s="7">
        <v>0</v>
      </c>
      <c r="H73" s="7">
        <v>0</v>
      </c>
      <c r="I73" s="7">
        <f>IF(AND(E73=0,G73=0),1,0)</f>
        <v>0</v>
      </c>
      <c r="J73" s="7">
        <f>IF(AND(E73=0,H73=0),1,0)</f>
        <v>0</v>
      </c>
      <c r="K73" s="7">
        <f>I73*'05 Methodology'!$B$7</f>
        <v>0</v>
      </c>
      <c r="L73" s="7">
        <f>J73*'05 Methodology'!$B$7</f>
        <v>0</v>
      </c>
      <c r="M73" s="7" t="str">
        <f>IF(G73=1,"FLAG / HOLD","INDEXED")</f>
        <v>INDEXED</v>
      </c>
      <c r="N73" s="1" t="str">
        <f>IF(H73=1,"FLAG / HOLD","INDEXED")</f>
        <v>INDEXED</v>
      </c>
      <c r="O73" s="1" t="s">
        <v>18</v>
      </c>
      <c r="P73" s="1" t="s">
        <v>19</v>
      </c>
      <c r="Q73" s="1"/>
      <c r="R73" s="1"/>
      <c r="S73" s="1"/>
      <c r="T73" s="1"/>
      <c r="U73" s="1"/>
    </row>
    <row r="74" spans="1:21" x14ac:dyDescent="0.2">
      <c r="A74" s="7" t="s">
        <v>94</v>
      </c>
      <c r="B74" s="7">
        <v>7</v>
      </c>
      <c r="C74" s="7">
        <v>7</v>
      </c>
      <c r="D74" s="7" t="str">
        <f>IF(B74=C74,"MATCH","MISMATCH")</f>
        <v>MATCH</v>
      </c>
      <c r="E74" s="7">
        <f>IF(F74="None",1,0)</f>
        <v>1</v>
      </c>
      <c r="F74" s="7" t="s">
        <v>17</v>
      </c>
      <c r="G74" s="7">
        <v>0</v>
      </c>
      <c r="H74" s="7">
        <v>0</v>
      </c>
      <c r="I74" s="7">
        <f>IF(AND(E74=0,G74=0),1,0)</f>
        <v>0</v>
      </c>
      <c r="J74" s="7">
        <f>IF(AND(E74=0,H74=0),1,0)</f>
        <v>0</v>
      </c>
      <c r="K74" s="7">
        <f>I74*'05 Methodology'!$B$7</f>
        <v>0</v>
      </c>
      <c r="L74" s="7">
        <f>J74*'05 Methodology'!$B$7</f>
        <v>0</v>
      </c>
      <c r="M74" s="7" t="str">
        <f>IF(G74=1,"FLAG / HOLD","INDEXED")</f>
        <v>INDEXED</v>
      </c>
      <c r="N74" s="1" t="str">
        <f>IF(H74=1,"FLAG / HOLD","INDEXED")</f>
        <v>INDEXED</v>
      </c>
      <c r="O74" s="1" t="s">
        <v>18</v>
      </c>
      <c r="P74" s="1" t="s">
        <v>19</v>
      </c>
      <c r="Q74" s="1"/>
      <c r="R74" s="1"/>
      <c r="S74" s="1"/>
      <c r="T74" s="1"/>
      <c r="U74" s="1"/>
    </row>
    <row r="75" spans="1:21" x14ac:dyDescent="0.2">
      <c r="A75" s="7" t="s">
        <v>95</v>
      </c>
      <c r="B75" s="7">
        <v>8</v>
      </c>
      <c r="C75" s="7">
        <v>8</v>
      </c>
      <c r="D75" s="7" t="str">
        <f>IF(B75=C75,"MATCH","MISMATCH")</f>
        <v>MATCH</v>
      </c>
      <c r="E75" s="7">
        <f>IF(F75="None",1,0)</f>
        <v>1</v>
      </c>
      <c r="F75" s="7" t="s">
        <v>17</v>
      </c>
      <c r="G75" s="7">
        <v>0</v>
      </c>
      <c r="H75" s="7">
        <v>0</v>
      </c>
      <c r="I75" s="7">
        <f>IF(AND(E75=0,G75=0),1,0)</f>
        <v>0</v>
      </c>
      <c r="J75" s="7">
        <f>IF(AND(E75=0,H75=0),1,0)</f>
        <v>0</v>
      </c>
      <c r="K75" s="7">
        <f>I75*'05 Methodology'!$B$7</f>
        <v>0</v>
      </c>
      <c r="L75" s="7">
        <f>J75*'05 Methodology'!$B$7</f>
        <v>0</v>
      </c>
      <c r="M75" s="7" t="str">
        <f>IF(G75=1,"FLAG / HOLD","INDEXED")</f>
        <v>INDEXED</v>
      </c>
      <c r="N75" s="1" t="str">
        <f>IF(H75=1,"FLAG / HOLD","INDEXED")</f>
        <v>INDEXED</v>
      </c>
      <c r="O75" s="1" t="s">
        <v>18</v>
      </c>
      <c r="P75" s="1" t="s">
        <v>19</v>
      </c>
      <c r="Q75" s="1"/>
      <c r="R75" s="1"/>
      <c r="S75" s="1"/>
      <c r="T75" s="1"/>
      <c r="U75" s="1"/>
    </row>
    <row r="76" spans="1:21" x14ac:dyDescent="0.2">
      <c r="A76" s="7" t="s">
        <v>96</v>
      </c>
      <c r="B76" s="7">
        <v>4</v>
      </c>
      <c r="C76" s="7">
        <v>4</v>
      </c>
      <c r="D76" s="7" t="str">
        <f>IF(B76=C76,"MATCH","MISMATCH")</f>
        <v>MATCH</v>
      </c>
      <c r="E76" s="7">
        <f>IF(F76="None",1,0)</f>
        <v>1</v>
      </c>
      <c r="F76" s="7" t="s">
        <v>17</v>
      </c>
      <c r="G76" s="7">
        <v>0</v>
      </c>
      <c r="H76" s="7">
        <v>0</v>
      </c>
      <c r="I76" s="7">
        <f>IF(AND(E76=0,G76=0),1,0)</f>
        <v>0</v>
      </c>
      <c r="J76" s="7">
        <f>IF(AND(E76=0,H76=0),1,0)</f>
        <v>0</v>
      </c>
      <c r="K76" s="7">
        <f>I76*'05 Methodology'!$B$7</f>
        <v>0</v>
      </c>
      <c r="L76" s="7">
        <f>J76*'05 Methodology'!$B$7</f>
        <v>0</v>
      </c>
      <c r="M76" s="7" t="str">
        <f>IF(G76=1,"FLAG / HOLD","INDEXED")</f>
        <v>INDEXED</v>
      </c>
      <c r="N76" s="1" t="str">
        <f>IF(H76=1,"FLAG / HOLD","INDEXED")</f>
        <v>INDEXED</v>
      </c>
      <c r="O76" s="1" t="s">
        <v>18</v>
      </c>
      <c r="P76" s="1" t="s">
        <v>19</v>
      </c>
      <c r="Q76" s="1"/>
      <c r="R76" s="1"/>
      <c r="S76" s="1"/>
      <c r="T76" s="1"/>
      <c r="U76" s="1"/>
    </row>
    <row r="77" spans="1:21" x14ac:dyDescent="0.2">
      <c r="A77" s="7" t="s">
        <v>97</v>
      </c>
      <c r="B77" s="7">
        <v>5</v>
      </c>
      <c r="C77" s="7">
        <v>5</v>
      </c>
      <c r="D77" s="7" t="str">
        <f>IF(B77=C77,"MATCH","MISMATCH")</f>
        <v>MATCH</v>
      </c>
      <c r="E77" s="7">
        <f>IF(F77="None",1,0)</f>
        <v>1</v>
      </c>
      <c r="F77" s="7" t="s">
        <v>17</v>
      </c>
      <c r="G77" s="7">
        <v>0</v>
      </c>
      <c r="H77" s="7">
        <v>0</v>
      </c>
      <c r="I77" s="7">
        <f>IF(AND(E77=0,G77=0),1,0)</f>
        <v>0</v>
      </c>
      <c r="J77" s="7">
        <f>IF(AND(E77=0,H77=0),1,0)</f>
        <v>0</v>
      </c>
      <c r="K77" s="7">
        <f>I77*'05 Methodology'!$B$7</f>
        <v>0</v>
      </c>
      <c r="L77" s="7">
        <f>J77*'05 Methodology'!$B$7</f>
        <v>0</v>
      </c>
      <c r="M77" s="7" t="str">
        <f>IF(G77=1,"FLAG / HOLD","INDEXED")</f>
        <v>INDEXED</v>
      </c>
      <c r="N77" s="1" t="str">
        <f>IF(H77=1,"FLAG / HOLD","INDEXED")</f>
        <v>INDEXED</v>
      </c>
      <c r="O77" s="1" t="s">
        <v>18</v>
      </c>
      <c r="P77" s="1" t="s">
        <v>19</v>
      </c>
      <c r="Q77" s="1"/>
      <c r="R77" s="1"/>
      <c r="S77" s="1"/>
      <c r="T77" s="1"/>
      <c r="U77" s="1"/>
    </row>
    <row r="78" spans="1:21" x14ac:dyDescent="0.2">
      <c r="A78" s="7" t="s">
        <v>98</v>
      </c>
      <c r="B78" s="7">
        <v>6</v>
      </c>
      <c r="C78" s="7">
        <v>5</v>
      </c>
      <c r="D78" s="7" t="str">
        <f>IF(B78=C78,"MATCH","MISMATCH")</f>
        <v>MISMATCH</v>
      </c>
      <c r="E78" s="7">
        <f>IF(F78="None",1,0)</f>
        <v>0</v>
      </c>
      <c r="F78" s="7" t="s">
        <v>38</v>
      </c>
      <c r="G78" s="7">
        <v>1</v>
      </c>
      <c r="H78" s="7">
        <v>1</v>
      </c>
      <c r="I78" s="7">
        <f>IF(AND(E78=0,G78=0),1,0)</f>
        <v>0</v>
      </c>
      <c r="J78" s="7">
        <f>IF(AND(E78=0,H78=0),1,0)</f>
        <v>0</v>
      </c>
      <c r="K78" s="7">
        <f>I78*'05 Methodology'!$B$7</f>
        <v>0</v>
      </c>
      <c r="L78" s="7">
        <f>J78*'05 Methodology'!$B$7</f>
        <v>0</v>
      </c>
      <c r="M78" s="7" t="str">
        <f>IF(G78=1,"FLAG / HOLD","INDEXED")</f>
        <v>FLAG / HOLD</v>
      </c>
      <c r="N78" s="1" t="str">
        <f>IF(H78=1,"FLAG / HOLD","INDEXED")</f>
        <v>FLAG / HOLD</v>
      </c>
      <c r="O78" s="1" t="s">
        <v>18</v>
      </c>
      <c r="P78" s="1" t="s">
        <v>19</v>
      </c>
      <c r="Q78" s="1"/>
      <c r="R78" s="1"/>
      <c r="S78" s="1"/>
      <c r="T78" s="1"/>
      <c r="U78" s="1"/>
    </row>
    <row r="79" spans="1:21" x14ac:dyDescent="0.2">
      <c r="A79" s="7" t="s">
        <v>99</v>
      </c>
      <c r="B79" s="7">
        <v>7</v>
      </c>
      <c r="C79" s="7">
        <v>7</v>
      </c>
      <c r="D79" s="7" t="str">
        <f>IF(B79=C79,"MATCH","MISMATCH")</f>
        <v>MATCH</v>
      </c>
      <c r="E79" s="7">
        <f>IF(F79="None",1,0)</f>
        <v>1</v>
      </c>
      <c r="F79" s="7" t="s">
        <v>17</v>
      </c>
      <c r="G79" s="7">
        <v>0</v>
      </c>
      <c r="H79" s="7">
        <v>0</v>
      </c>
      <c r="I79" s="7">
        <f>IF(AND(E79=0,G79=0),1,0)</f>
        <v>0</v>
      </c>
      <c r="J79" s="7">
        <f>IF(AND(E79=0,H79=0),1,0)</f>
        <v>0</v>
      </c>
      <c r="K79" s="7">
        <f>I79*'05 Methodology'!$B$7</f>
        <v>0</v>
      </c>
      <c r="L79" s="7">
        <f>J79*'05 Methodology'!$B$7</f>
        <v>0</v>
      </c>
      <c r="M79" s="7" t="str">
        <f>IF(G79=1,"FLAG / HOLD","INDEXED")</f>
        <v>INDEXED</v>
      </c>
      <c r="N79" s="1" t="str">
        <f>IF(H79=1,"FLAG / HOLD","INDEXED")</f>
        <v>INDEXED</v>
      </c>
      <c r="O79" s="1" t="s">
        <v>18</v>
      </c>
      <c r="P79" s="1" t="s">
        <v>19</v>
      </c>
      <c r="Q79" s="1"/>
      <c r="R79" s="1"/>
      <c r="S79" s="1"/>
      <c r="T79" s="1"/>
      <c r="U79" s="1"/>
    </row>
    <row r="80" spans="1:21" x14ac:dyDescent="0.2">
      <c r="A80" s="7" t="s">
        <v>100</v>
      </c>
      <c r="B80" s="7">
        <v>8</v>
      </c>
      <c r="C80" s="7">
        <v>8</v>
      </c>
      <c r="D80" s="7" t="str">
        <f>IF(B80=C80,"MATCH","MISMATCH")</f>
        <v>MATCH</v>
      </c>
      <c r="E80" s="7">
        <f>IF(F80="None",1,0)</f>
        <v>1</v>
      </c>
      <c r="F80" s="7" t="s">
        <v>17</v>
      </c>
      <c r="G80" s="7">
        <v>0</v>
      </c>
      <c r="H80" s="7">
        <v>0</v>
      </c>
      <c r="I80" s="7">
        <f>IF(AND(E80=0,G80=0),1,0)</f>
        <v>0</v>
      </c>
      <c r="J80" s="7">
        <f>IF(AND(E80=0,H80=0),1,0)</f>
        <v>0</v>
      </c>
      <c r="K80" s="7">
        <f>I80*'05 Methodology'!$B$7</f>
        <v>0</v>
      </c>
      <c r="L80" s="7">
        <f>J80*'05 Methodology'!$B$7</f>
        <v>0</v>
      </c>
      <c r="M80" s="7" t="str">
        <f>IF(G80=1,"FLAG / HOLD","INDEXED")</f>
        <v>INDEXED</v>
      </c>
      <c r="N80" s="1" t="str">
        <f>IF(H80=1,"FLAG / HOLD","INDEXED")</f>
        <v>INDEXED</v>
      </c>
      <c r="O80" s="1" t="s">
        <v>18</v>
      </c>
      <c r="P80" s="1" t="s">
        <v>19</v>
      </c>
      <c r="Q80" s="1"/>
      <c r="R80" s="1"/>
      <c r="S80" s="1"/>
      <c r="T80" s="1"/>
      <c r="U80" s="1"/>
    </row>
    <row r="81" spans="1:21" x14ac:dyDescent="0.2">
      <c r="A81" s="7" t="s">
        <v>101</v>
      </c>
      <c r="B81" s="7">
        <v>4</v>
      </c>
      <c r="C81" s="7">
        <v>4</v>
      </c>
      <c r="D81" s="7" t="str">
        <f>IF(B81=C81,"MATCH","MISMATCH")</f>
        <v>MATCH</v>
      </c>
      <c r="E81" s="7">
        <f>IF(F81="None",1,0)</f>
        <v>0</v>
      </c>
      <c r="F81" s="7" t="s">
        <v>24</v>
      </c>
      <c r="G81" s="7">
        <v>1</v>
      </c>
      <c r="H81" s="7">
        <v>1</v>
      </c>
      <c r="I81" s="7">
        <f>IF(AND(E81=0,G81=0),1,0)</f>
        <v>0</v>
      </c>
      <c r="J81" s="7">
        <f>IF(AND(E81=0,H81=0),1,0)</f>
        <v>0</v>
      </c>
      <c r="K81" s="7">
        <f>I81*'05 Methodology'!$B$7</f>
        <v>0</v>
      </c>
      <c r="L81" s="7">
        <f>J81*'05 Methodology'!$B$7</f>
        <v>0</v>
      </c>
      <c r="M81" s="7" t="str">
        <f>IF(G81=1,"FLAG / HOLD","INDEXED")</f>
        <v>FLAG / HOLD</v>
      </c>
      <c r="N81" s="1" t="str">
        <f>IF(H81=1,"FLAG / HOLD","INDEXED")</f>
        <v>FLAG / HOLD</v>
      </c>
      <c r="O81" s="1" t="s">
        <v>18</v>
      </c>
      <c r="P81" s="1" t="s">
        <v>25</v>
      </c>
      <c r="Q81" s="1"/>
      <c r="R81" s="1"/>
      <c r="S81" s="1"/>
      <c r="T81" s="1"/>
      <c r="U81" s="1"/>
    </row>
    <row r="82" spans="1:21" x14ac:dyDescent="0.2">
      <c r="A82" s="7" t="s">
        <v>102</v>
      </c>
      <c r="B82" s="7">
        <v>5</v>
      </c>
      <c r="C82" s="7">
        <v>5</v>
      </c>
      <c r="D82" s="7" t="str">
        <f>IF(B82=C82,"MATCH","MISMATCH")</f>
        <v>MATCH</v>
      </c>
      <c r="E82" s="7">
        <f>IF(F82="None",1,0)</f>
        <v>1</v>
      </c>
      <c r="F82" s="7" t="s">
        <v>17</v>
      </c>
      <c r="G82" s="7">
        <v>0</v>
      </c>
      <c r="H82" s="7">
        <v>0</v>
      </c>
      <c r="I82" s="7">
        <f>IF(AND(E82=0,G82=0),1,0)</f>
        <v>0</v>
      </c>
      <c r="J82" s="7">
        <f>IF(AND(E82=0,H82=0),1,0)</f>
        <v>0</v>
      </c>
      <c r="K82" s="7">
        <f>I82*'05 Methodology'!$B$7</f>
        <v>0</v>
      </c>
      <c r="L82" s="7">
        <f>J82*'05 Methodology'!$B$7</f>
        <v>0</v>
      </c>
      <c r="M82" s="7" t="str">
        <f>IF(G82=1,"FLAG / HOLD","INDEXED")</f>
        <v>INDEXED</v>
      </c>
      <c r="N82" s="1" t="str">
        <f>IF(H82=1,"FLAG / HOLD","INDEXED")</f>
        <v>INDEXED</v>
      </c>
      <c r="O82" s="1" t="s">
        <v>18</v>
      </c>
      <c r="P82" s="1" t="s">
        <v>19</v>
      </c>
      <c r="Q82" s="1"/>
      <c r="R82" s="1"/>
      <c r="S82" s="1"/>
      <c r="T82" s="1"/>
      <c r="U82" s="1"/>
    </row>
    <row r="83" spans="1:21" x14ac:dyDescent="0.2">
      <c r="A83" s="7" t="s">
        <v>103</v>
      </c>
      <c r="B83" s="7">
        <v>6</v>
      </c>
      <c r="C83" s="7">
        <v>6</v>
      </c>
      <c r="D83" s="7" t="str">
        <f>IF(B83=C83,"MATCH","MISMATCH")</f>
        <v>MATCH</v>
      </c>
      <c r="E83" s="7">
        <f>IF(F83="None",1,0)</f>
        <v>1</v>
      </c>
      <c r="F83" s="7" t="s">
        <v>17</v>
      </c>
      <c r="G83" s="7">
        <v>0</v>
      </c>
      <c r="H83" s="7">
        <v>0</v>
      </c>
      <c r="I83" s="7">
        <f>IF(AND(E83=0,G83=0),1,0)</f>
        <v>0</v>
      </c>
      <c r="J83" s="7">
        <f>IF(AND(E83=0,H83=0),1,0)</f>
        <v>0</v>
      </c>
      <c r="K83" s="7">
        <f>I83*'05 Methodology'!$B$7</f>
        <v>0</v>
      </c>
      <c r="L83" s="7">
        <f>J83*'05 Methodology'!$B$7</f>
        <v>0</v>
      </c>
      <c r="M83" s="7" t="str">
        <f>IF(G83=1,"FLAG / HOLD","INDEXED")</f>
        <v>INDEXED</v>
      </c>
      <c r="N83" s="1" t="str">
        <f>IF(H83=1,"FLAG / HOLD","INDEXED")</f>
        <v>INDEXED</v>
      </c>
      <c r="O83" s="1" t="s">
        <v>18</v>
      </c>
      <c r="P83" s="1" t="s">
        <v>19</v>
      </c>
      <c r="Q83" s="1"/>
      <c r="R83" s="1"/>
      <c r="S83" s="1"/>
      <c r="T83" s="1"/>
      <c r="U83" s="1"/>
    </row>
    <row r="84" spans="1:21" x14ac:dyDescent="0.2">
      <c r="A84" s="7" t="s">
        <v>104</v>
      </c>
      <c r="B84" s="7">
        <v>7</v>
      </c>
      <c r="C84" s="7">
        <v>7</v>
      </c>
      <c r="D84" s="7" t="str">
        <f>IF(B84=C84,"MATCH","MISMATCH")</f>
        <v>MATCH</v>
      </c>
      <c r="E84" s="7">
        <f>IF(F84="None",1,0)</f>
        <v>1</v>
      </c>
      <c r="F84" s="7" t="s">
        <v>17</v>
      </c>
      <c r="G84" s="7">
        <v>0</v>
      </c>
      <c r="H84" s="7">
        <v>0</v>
      </c>
      <c r="I84" s="7">
        <f>IF(AND(E84=0,G84=0),1,0)</f>
        <v>0</v>
      </c>
      <c r="J84" s="7">
        <f>IF(AND(E84=0,H84=0),1,0)</f>
        <v>0</v>
      </c>
      <c r="K84" s="7">
        <f>I84*'05 Methodology'!$B$7</f>
        <v>0</v>
      </c>
      <c r="L84" s="7">
        <f>J84*'05 Methodology'!$B$7</f>
        <v>0</v>
      </c>
      <c r="M84" s="7" t="str">
        <f>IF(G84=1,"FLAG / HOLD","INDEXED")</f>
        <v>INDEXED</v>
      </c>
      <c r="N84" s="1" t="str">
        <f>IF(H84=1,"FLAG / HOLD","INDEXED")</f>
        <v>INDEXED</v>
      </c>
      <c r="O84" s="1" t="s">
        <v>18</v>
      </c>
      <c r="P84" s="1" t="s">
        <v>19</v>
      </c>
      <c r="Q84" s="1"/>
      <c r="R84" s="1"/>
      <c r="S84" s="1"/>
      <c r="T84" s="1"/>
      <c r="U84" s="1"/>
    </row>
    <row r="85" spans="1:21" x14ac:dyDescent="0.2">
      <c r="A85" s="7" t="s">
        <v>105</v>
      </c>
      <c r="B85" s="7">
        <v>6</v>
      </c>
      <c r="C85" s="7">
        <v>6</v>
      </c>
      <c r="D85" s="7" t="str">
        <f>IF(B85=C85,"MATCH","MISMATCH")</f>
        <v>MATCH</v>
      </c>
      <c r="E85" s="7">
        <f>IF(F85="None",1,0)</f>
        <v>1</v>
      </c>
      <c r="F85" s="7" t="s">
        <v>17</v>
      </c>
      <c r="G85" s="7">
        <v>0</v>
      </c>
      <c r="H85" s="7">
        <v>0</v>
      </c>
      <c r="I85" s="7">
        <f>IF(AND(E85=0,G85=0),1,0)</f>
        <v>0</v>
      </c>
      <c r="J85" s="7">
        <f>IF(AND(E85=0,H85=0),1,0)</f>
        <v>0</v>
      </c>
      <c r="K85" s="7">
        <f>I85*'05 Methodology'!$B$7</f>
        <v>0</v>
      </c>
      <c r="L85" s="7">
        <f>J85*'05 Methodology'!$B$7</f>
        <v>0</v>
      </c>
      <c r="M85" s="7" t="str">
        <f>IF(G85=1,"FLAG / HOLD","INDEXED")</f>
        <v>INDEXED</v>
      </c>
      <c r="N85" s="1" t="str">
        <f>IF(H85=1,"FLAG / HOLD","INDEXED")</f>
        <v>INDEXED</v>
      </c>
      <c r="O85" s="1" t="s">
        <v>18</v>
      </c>
      <c r="P85" s="1" t="s">
        <v>19</v>
      </c>
      <c r="Q85" s="1"/>
      <c r="R85" s="1"/>
      <c r="S85" s="1"/>
      <c r="T85" s="1"/>
      <c r="U85" s="1"/>
    </row>
    <row r="86" spans="1:21" x14ac:dyDescent="0.2">
      <c r="A86" s="7" t="s">
        <v>106</v>
      </c>
      <c r="B86" s="7">
        <v>4</v>
      </c>
      <c r="C86" s="7">
        <v>4</v>
      </c>
      <c r="D86" s="7" t="str">
        <f>IF(B86=C86,"MATCH","MISMATCH")</f>
        <v>MATCH</v>
      </c>
      <c r="E86" s="7">
        <f>IF(F86="None",1,0)</f>
        <v>1</v>
      </c>
      <c r="F86" s="7" t="s">
        <v>17</v>
      </c>
      <c r="G86" s="7">
        <v>0</v>
      </c>
      <c r="H86" s="7">
        <v>0</v>
      </c>
      <c r="I86" s="7">
        <f>IF(AND(E86=0,G86=0),1,0)</f>
        <v>0</v>
      </c>
      <c r="J86" s="7">
        <f>IF(AND(E86=0,H86=0),1,0)</f>
        <v>0</v>
      </c>
      <c r="K86" s="7">
        <f>I86*'05 Methodology'!$B$7</f>
        <v>0</v>
      </c>
      <c r="L86" s="7">
        <f>J86*'05 Methodology'!$B$7</f>
        <v>0</v>
      </c>
      <c r="M86" s="7" t="str">
        <f>IF(G86=1,"FLAG / HOLD","INDEXED")</f>
        <v>INDEXED</v>
      </c>
      <c r="N86" s="1" t="str">
        <f>IF(H86=1,"FLAG / HOLD","INDEXED")</f>
        <v>INDEXED</v>
      </c>
      <c r="O86" s="1" t="s">
        <v>18</v>
      </c>
      <c r="P86" s="1" t="s">
        <v>19</v>
      </c>
      <c r="Q86" s="1"/>
      <c r="R86" s="1"/>
      <c r="S86" s="1"/>
      <c r="T86" s="1"/>
      <c r="U86" s="1"/>
    </row>
    <row r="87" spans="1:21" x14ac:dyDescent="0.2">
      <c r="A87" s="7" t="s">
        <v>107</v>
      </c>
      <c r="B87" s="7">
        <v>5</v>
      </c>
      <c r="C87" s="7">
        <v>4</v>
      </c>
      <c r="D87" s="7" t="str">
        <f>IF(B87=C87,"MATCH","MISMATCH")</f>
        <v>MISMATCH</v>
      </c>
      <c r="E87" s="7">
        <f>IF(F87="None",1,0)</f>
        <v>0</v>
      </c>
      <c r="F87" s="7" t="s">
        <v>38</v>
      </c>
      <c r="G87" s="7">
        <v>1</v>
      </c>
      <c r="H87" s="7">
        <v>1</v>
      </c>
      <c r="I87" s="7">
        <f>IF(AND(E87=0,G87=0),1,0)</f>
        <v>0</v>
      </c>
      <c r="J87" s="7">
        <f>IF(AND(E87=0,H87=0),1,0)</f>
        <v>0</v>
      </c>
      <c r="K87" s="7">
        <f>I87*'05 Methodology'!$B$7</f>
        <v>0</v>
      </c>
      <c r="L87" s="7">
        <f>J87*'05 Methodology'!$B$7</f>
        <v>0</v>
      </c>
      <c r="M87" s="7" t="str">
        <f>IF(G87=1,"FLAG / HOLD","INDEXED")</f>
        <v>FLAG / HOLD</v>
      </c>
      <c r="N87" s="1" t="str">
        <f>IF(H87=1,"FLAG / HOLD","INDEXED")</f>
        <v>FLAG / HOLD</v>
      </c>
      <c r="O87" s="1" t="s">
        <v>18</v>
      </c>
      <c r="P87" s="1" t="s">
        <v>19</v>
      </c>
      <c r="Q87" s="1"/>
      <c r="R87" s="1"/>
      <c r="S87" s="1"/>
      <c r="T87" s="1"/>
      <c r="U87" s="1"/>
    </row>
    <row r="88" spans="1:21" x14ac:dyDescent="0.2">
      <c r="A88" s="7" t="s">
        <v>108</v>
      </c>
      <c r="B88" s="7">
        <v>6</v>
      </c>
      <c r="C88" s="7">
        <v>6</v>
      </c>
      <c r="D88" s="7" t="str">
        <f>IF(B88=C88,"MATCH","MISMATCH")</f>
        <v>MATCH</v>
      </c>
      <c r="E88" s="7">
        <f>IF(F88="None",1,0)</f>
        <v>1</v>
      </c>
      <c r="F88" s="7" t="s">
        <v>17</v>
      </c>
      <c r="G88" s="7">
        <v>0</v>
      </c>
      <c r="H88" s="7">
        <v>0</v>
      </c>
      <c r="I88" s="7">
        <f>IF(AND(E88=0,G88=0),1,0)</f>
        <v>0</v>
      </c>
      <c r="J88" s="7">
        <f>IF(AND(E88=0,H88=0),1,0)</f>
        <v>0</v>
      </c>
      <c r="K88" s="7">
        <f>I88*'05 Methodology'!$B$7</f>
        <v>0</v>
      </c>
      <c r="L88" s="7">
        <f>J88*'05 Methodology'!$B$7</f>
        <v>0</v>
      </c>
      <c r="M88" s="7" t="str">
        <f>IF(G88=1,"FLAG / HOLD","INDEXED")</f>
        <v>INDEXED</v>
      </c>
      <c r="N88" s="1" t="str">
        <f>IF(H88=1,"FLAG / HOLD","INDEXED")</f>
        <v>INDEXED</v>
      </c>
      <c r="O88" s="1" t="s">
        <v>18</v>
      </c>
      <c r="P88" s="1" t="s">
        <v>19</v>
      </c>
      <c r="Q88" s="1"/>
      <c r="R88" s="1"/>
      <c r="S88" s="1"/>
      <c r="T88" s="1"/>
      <c r="U88" s="1"/>
    </row>
    <row r="89" spans="1:21" x14ac:dyDescent="0.2">
      <c r="A89" s="7" t="s">
        <v>109</v>
      </c>
      <c r="B89" s="7">
        <v>7</v>
      </c>
      <c r="C89" s="7">
        <v>7</v>
      </c>
      <c r="D89" s="7" t="str">
        <f>IF(B89=C89,"MATCH","MISMATCH")</f>
        <v>MATCH</v>
      </c>
      <c r="E89" s="7">
        <f>IF(F89="None",1,0)</f>
        <v>1</v>
      </c>
      <c r="F89" s="7" t="s">
        <v>17</v>
      </c>
      <c r="G89" s="7">
        <v>0</v>
      </c>
      <c r="H89" s="7">
        <v>0</v>
      </c>
      <c r="I89" s="7">
        <f>IF(AND(E89=0,G89=0),1,0)</f>
        <v>0</v>
      </c>
      <c r="J89" s="7">
        <f>IF(AND(E89=0,H89=0),1,0)</f>
        <v>0</v>
      </c>
      <c r="K89" s="7">
        <f>I89*'05 Methodology'!$B$7</f>
        <v>0</v>
      </c>
      <c r="L89" s="7">
        <f>J89*'05 Methodology'!$B$7</f>
        <v>0</v>
      </c>
      <c r="M89" s="7" t="str">
        <f>IF(G89=1,"FLAG / HOLD","INDEXED")</f>
        <v>INDEXED</v>
      </c>
      <c r="N89" s="1" t="str">
        <f>IF(H89=1,"FLAG / HOLD","INDEXED")</f>
        <v>INDEXED</v>
      </c>
      <c r="O89" s="1" t="s">
        <v>18</v>
      </c>
      <c r="P89" s="1" t="s">
        <v>19</v>
      </c>
      <c r="Q89" s="1"/>
      <c r="R89" s="1"/>
      <c r="S89" s="1"/>
      <c r="T89" s="1"/>
      <c r="U89" s="1"/>
    </row>
    <row r="90" spans="1:21" x14ac:dyDescent="0.2">
      <c r="A90" s="7" t="s">
        <v>110</v>
      </c>
      <c r="B90" s="7">
        <v>8</v>
      </c>
      <c r="C90" s="7">
        <v>8</v>
      </c>
      <c r="D90" s="7" t="str">
        <f>IF(B90=C90,"MATCH","MISMATCH")</f>
        <v>MATCH</v>
      </c>
      <c r="E90" s="7">
        <f>IF(F90="None",1,0)</f>
        <v>1</v>
      </c>
      <c r="F90" s="7" t="s">
        <v>17</v>
      </c>
      <c r="G90" s="7">
        <v>0</v>
      </c>
      <c r="H90" s="7">
        <v>0</v>
      </c>
      <c r="I90" s="7">
        <f>IF(AND(E90=0,G90=0),1,0)</f>
        <v>0</v>
      </c>
      <c r="J90" s="7">
        <f>IF(AND(E90=0,H90=0),1,0)</f>
        <v>0</v>
      </c>
      <c r="K90" s="7">
        <f>I90*'05 Methodology'!$B$7</f>
        <v>0</v>
      </c>
      <c r="L90" s="7">
        <f>J90*'05 Methodology'!$B$7</f>
        <v>0</v>
      </c>
      <c r="M90" s="7" t="str">
        <f>IF(G90=1,"FLAG / HOLD","INDEXED")</f>
        <v>INDEXED</v>
      </c>
      <c r="N90" s="1" t="str">
        <f>IF(H90=1,"FLAG / HOLD","INDEXED")</f>
        <v>INDEXED</v>
      </c>
      <c r="O90" s="1" t="s">
        <v>18</v>
      </c>
      <c r="P90" s="1" t="s">
        <v>19</v>
      </c>
      <c r="Q90" s="1"/>
      <c r="R90" s="1"/>
      <c r="S90" s="1"/>
      <c r="T90" s="1"/>
      <c r="U90" s="1"/>
    </row>
    <row r="91" spans="1:21" x14ac:dyDescent="0.2">
      <c r="A91" s="7" t="s">
        <v>111</v>
      </c>
      <c r="B91" s="7">
        <v>4</v>
      </c>
      <c r="C91" s="7">
        <v>4</v>
      </c>
      <c r="D91" s="7" t="str">
        <f>IF(B91=C91,"MATCH","MISMATCH")</f>
        <v>MATCH</v>
      </c>
      <c r="E91" s="7">
        <f>IF(F91="None",1,0)</f>
        <v>1</v>
      </c>
      <c r="F91" s="7" t="s">
        <v>17</v>
      </c>
      <c r="G91" s="7">
        <v>0</v>
      </c>
      <c r="H91" s="7">
        <v>0</v>
      </c>
      <c r="I91" s="7">
        <f>IF(AND(E91=0,G91=0),1,0)</f>
        <v>0</v>
      </c>
      <c r="J91" s="7">
        <f>IF(AND(E91=0,H91=0),1,0)</f>
        <v>0</v>
      </c>
      <c r="K91" s="7">
        <f>I91*'05 Methodology'!$B$7</f>
        <v>0</v>
      </c>
      <c r="L91" s="7">
        <f>J91*'05 Methodology'!$B$7</f>
        <v>0</v>
      </c>
      <c r="M91" s="7" t="str">
        <f>IF(G91=1,"FLAG / HOLD","INDEXED")</f>
        <v>INDEXED</v>
      </c>
      <c r="N91" s="1" t="str">
        <f>IF(H91=1,"FLAG / HOLD","INDEXED")</f>
        <v>INDEXED</v>
      </c>
      <c r="O91" s="1" t="s">
        <v>18</v>
      </c>
      <c r="P91" s="1" t="s">
        <v>19</v>
      </c>
      <c r="Q91" s="1"/>
      <c r="R91" s="1"/>
      <c r="S91" s="1"/>
      <c r="T91" s="1"/>
      <c r="U91" s="1"/>
    </row>
    <row r="92" spans="1:21" x14ac:dyDescent="0.2">
      <c r="A92" s="7" t="s">
        <v>112</v>
      </c>
      <c r="B92" s="7">
        <v>6</v>
      </c>
      <c r="C92" s="7">
        <v>6</v>
      </c>
      <c r="D92" s="7" t="str">
        <f>IF(B92=C92,"MATCH","MISMATCH")</f>
        <v>MATCH</v>
      </c>
      <c r="E92" s="7">
        <f>IF(F92="None",1,0)</f>
        <v>1</v>
      </c>
      <c r="F92" s="7" t="s">
        <v>17</v>
      </c>
      <c r="G92" s="7">
        <v>0</v>
      </c>
      <c r="H92" s="7">
        <v>0</v>
      </c>
      <c r="I92" s="7">
        <f>IF(AND(E92=0,G92=0),1,0)</f>
        <v>0</v>
      </c>
      <c r="J92" s="7">
        <f>IF(AND(E92=0,H92=0),1,0)</f>
        <v>0</v>
      </c>
      <c r="K92" s="7">
        <f>I92*'05 Methodology'!$B$7</f>
        <v>0</v>
      </c>
      <c r="L92" s="7">
        <f>J92*'05 Methodology'!$B$7</f>
        <v>0</v>
      </c>
      <c r="M92" s="7" t="str">
        <f>IF(G92=1,"FLAG / HOLD","INDEXED")</f>
        <v>INDEXED</v>
      </c>
      <c r="N92" s="1" t="str">
        <f>IF(H92=1,"FLAG / HOLD","INDEXED")</f>
        <v>INDEXED</v>
      </c>
      <c r="O92" s="1" t="s">
        <v>18</v>
      </c>
      <c r="P92" s="1" t="s">
        <v>19</v>
      </c>
      <c r="Q92" s="1"/>
      <c r="R92" s="1"/>
      <c r="S92" s="1"/>
      <c r="T92" s="1"/>
      <c r="U92" s="1"/>
    </row>
    <row r="93" spans="1:21" x14ac:dyDescent="0.2">
      <c r="A93" s="7" t="s">
        <v>113</v>
      </c>
      <c r="B93" s="7">
        <v>6</v>
      </c>
      <c r="C93" s="7">
        <v>6</v>
      </c>
      <c r="D93" s="7" t="str">
        <f>IF(B93=C93,"MATCH","MISMATCH")</f>
        <v>MATCH</v>
      </c>
      <c r="E93" s="7">
        <f>IF(F93="None",1,0)</f>
        <v>1</v>
      </c>
      <c r="F93" s="7" t="s">
        <v>17</v>
      </c>
      <c r="G93" s="7">
        <v>0</v>
      </c>
      <c r="H93" s="7">
        <v>0</v>
      </c>
      <c r="I93" s="7">
        <f>IF(AND(E93=0,G93=0),1,0)</f>
        <v>0</v>
      </c>
      <c r="J93" s="7">
        <f>IF(AND(E93=0,H93=0),1,0)</f>
        <v>0</v>
      </c>
      <c r="K93" s="7">
        <f>I93*'05 Methodology'!$B$7</f>
        <v>0</v>
      </c>
      <c r="L93" s="7">
        <f>J93*'05 Methodology'!$B$7</f>
        <v>0</v>
      </c>
      <c r="M93" s="7" t="str">
        <f>IF(G93=1,"FLAG / HOLD","INDEXED")</f>
        <v>INDEXED</v>
      </c>
      <c r="N93" s="1" t="str">
        <f>IF(H93=1,"FLAG / HOLD","INDEXED")</f>
        <v>INDEXED</v>
      </c>
      <c r="O93" s="1" t="s">
        <v>18</v>
      </c>
      <c r="P93" s="1" t="s">
        <v>19</v>
      </c>
      <c r="Q93" s="1"/>
      <c r="R93" s="1"/>
      <c r="S93" s="1"/>
      <c r="T93" s="1"/>
      <c r="U93" s="1"/>
    </row>
    <row r="94" spans="1:21" x14ac:dyDescent="0.2">
      <c r="A94" s="7" t="s">
        <v>114</v>
      </c>
      <c r="B94" s="7">
        <v>7</v>
      </c>
      <c r="C94" s="7">
        <v>7</v>
      </c>
      <c r="D94" s="7" t="str">
        <f>IF(B94=C94,"MATCH","MISMATCH")</f>
        <v>MATCH</v>
      </c>
      <c r="E94" s="7">
        <f>IF(F94="None",1,0)</f>
        <v>1</v>
      </c>
      <c r="F94" s="7" t="s">
        <v>17</v>
      </c>
      <c r="G94" s="7">
        <v>0</v>
      </c>
      <c r="H94" s="7">
        <v>0</v>
      </c>
      <c r="I94" s="7">
        <f>IF(AND(E94=0,G94=0),1,0)</f>
        <v>0</v>
      </c>
      <c r="J94" s="7">
        <f>IF(AND(E94=0,H94=0),1,0)</f>
        <v>0</v>
      </c>
      <c r="K94" s="7">
        <f>I94*'05 Methodology'!$B$7</f>
        <v>0</v>
      </c>
      <c r="L94" s="7">
        <f>J94*'05 Methodology'!$B$7</f>
        <v>0</v>
      </c>
      <c r="M94" s="7" t="str">
        <f>IF(G94=1,"FLAG / HOLD","INDEXED")</f>
        <v>INDEXED</v>
      </c>
      <c r="N94" s="1" t="str">
        <f>IF(H94=1,"FLAG / HOLD","INDEXED")</f>
        <v>INDEXED</v>
      </c>
      <c r="O94" s="1" t="s">
        <v>18</v>
      </c>
      <c r="P94" s="1" t="s">
        <v>19</v>
      </c>
      <c r="Q94" s="1"/>
      <c r="R94" s="1"/>
      <c r="S94" s="1"/>
      <c r="T94" s="1"/>
      <c r="U94" s="1"/>
    </row>
    <row r="95" spans="1:21" x14ac:dyDescent="0.2">
      <c r="A95" s="7" t="s">
        <v>115</v>
      </c>
      <c r="B95" s="7">
        <v>8</v>
      </c>
      <c r="C95" s="7">
        <v>8</v>
      </c>
      <c r="D95" s="7" t="str">
        <f>IF(B95=C95,"MATCH","MISMATCH")</f>
        <v>MATCH</v>
      </c>
      <c r="E95" s="7">
        <f>IF(F95="None",1,0)</f>
        <v>1</v>
      </c>
      <c r="F95" s="7" t="s">
        <v>17</v>
      </c>
      <c r="G95" s="7">
        <v>0</v>
      </c>
      <c r="H95" s="7">
        <v>0</v>
      </c>
      <c r="I95" s="7">
        <f>IF(AND(E95=0,G95=0),1,0)</f>
        <v>0</v>
      </c>
      <c r="J95" s="7">
        <f>IF(AND(E95=0,H95=0),1,0)</f>
        <v>0</v>
      </c>
      <c r="K95" s="7">
        <f>I95*'05 Methodology'!$B$7</f>
        <v>0</v>
      </c>
      <c r="L95" s="7">
        <f>J95*'05 Methodology'!$B$7</f>
        <v>0</v>
      </c>
      <c r="M95" s="7" t="str">
        <f>IF(G95=1,"FLAG / HOLD","INDEXED")</f>
        <v>INDEXED</v>
      </c>
      <c r="N95" s="1" t="str">
        <f>IF(H95=1,"FLAG / HOLD","INDEXED")</f>
        <v>INDEXED</v>
      </c>
      <c r="O95" s="1" t="s">
        <v>18</v>
      </c>
      <c r="P95" s="1" t="s">
        <v>19</v>
      </c>
      <c r="Q95" s="1"/>
      <c r="R95" s="1"/>
      <c r="S95" s="1"/>
      <c r="T95" s="1"/>
      <c r="U95" s="1"/>
    </row>
    <row r="96" spans="1:21" x14ac:dyDescent="0.2">
      <c r="A96" s="7" t="s">
        <v>116</v>
      </c>
      <c r="B96" s="7">
        <v>4</v>
      </c>
      <c r="C96" s="7">
        <v>4</v>
      </c>
      <c r="D96" s="7" t="str">
        <f>IF(B96=C96,"MATCH","MISMATCH")</f>
        <v>MATCH</v>
      </c>
      <c r="E96" s="7">
        <f>IF(F96="None",1,0)</f>
        <v>1</v>
      </c>
      <c r="F96" s="7" t="s">
        <v>17</v>
      </c>
      <c r="G96" s="7">
        <v>0</v>
      </c>
      <c r="H96" s="7">
        <v>0</v>
      </c>
      <c r="I96" s="7">
        <f>IF(AND(E96=0,G96=0),1,0)</f>
        <v>0</v>
      </c>
      <c r="J96" s="7">
        <f>IF(AND(E96=0,H96=0),1,0)</f>
        <v>0</v>
      </c>
      <c r="K96" s="7">
        <f>I96*'05 Methodology'!$B$7</f>
        <v>0</v>
      </c>
      <c r="L96" s="7">
        <f>J96*'05 Methodology'!$B$7</f>
        <v>0</v>
      </c>
      <c r="M96" s="7" t="str">
        <f>IF(G96=1,"FLAG / HOLD","INDEXED")</f>
        <v>INDEXED</v>
      </c>
      <c r="N96" s="1" t="str">
        <f>IF(H96=1,"FLAG / HOLD","INDEXED")</f>
        <v>INDEXED</v>
      </c>
      <c r="O96" s="1" t="s">
        <v>18</v>
      </c>
      <c r="P96" s="1" t="s">
        <v>19</v>
      </c>
      <c r="Q96" s="1"/>
      <c r="R96" s="1"/>
      <c r="S96" s="1"/>
      <c r="T96" s="1"/>
      <c r="U96" s="1"/>
    </row>
    <row r="97" spans="1:21" x14ac:dyDescent="0.2">
      <c r="A97" s="7" t="s">
        <v>117</v>
      </c>
      <c r="B97" s="7">
        <v>5</v>
      </c>
      <c r="C97" s="7">
        <v>5</v>
      </c>
      <c r="D97" s="7" t="str">
        <f>IF(B97=C97,"MATCH","MISMATCH")</f>
        <v>MATCH</v>
      </c>
      <c r="E97" s="7">
        <f>IF(F97="None",1,0)</f>
        <v>1</v>
      </c>
      <c r="F97" s="7" t="s">
        <v>17</v>
      </c>
      <c r="G97" s="7">
        <v>0</v>
      </c>
      <c r="H97" s="7">
        <v>0</v>
      </c>
      <c r="I97" s="7">
        <f>IF(AND(E97=0,G97=0),1,0)</f>
        <v>0</v>
      </c>
      <c r="J97" s="7">
        <f>IF(AND(E97=0,H97=0),1,0)</f>
        <v>0</v>
      </c>
      <c r="K97" s="7">
        <f>I97*'05 Methodology'!$B$7</f>
        <v>0</v>
      </c>
      <c r="L97" s="7">
        <f>J97*'05 Methodology'!$B$7</f>
        <v>0</v>
      </c>
      <c r="M97" s="7" t="str">
        <f>IF(G97=1,"FLAG / HOLD","INDEXED")</f>
        <v>INDEXED</v>
      </c>
      <c r="N97" s="1" t="str">
        <f>IF(H97=1,"FLAG / HOLD","INDEXED")</f>
        <v>INDEXED</v>
      </c>
      <c r="O97" s="1" t="s">
        <v>18</v>
      </c>
      <c r="P97" s="1" t="s">
        <v>19</v>
      </c>
      <c r="Q97" s="1"/>
      <c r="R97" s="1"/>
      <c r="S97" s="1"/>
      <c r="T97" s="1"/>
      <c r="U97" s="1"/>
    </row>
    <row r="98" spans="1:21" x14ac:dyDescent="0.2">
      <c r="A98" s="7" t="s">
        <v>118</v>
      </c>
      <c r="B98" s="7">
        <v>6</v>
      </c>
      <c r="C98" s="7">
        <v>6</v>
      </c>
      <c r="D98" s="7" t="str">
        <f>IF(B98=C98,"MATCH","MISMATCH")</f>
        <v>MATCH</v>
      </c>
      <c r="E98" s="7">
        <f>IF(F98="None",1,0)</f>
        <v>1</v>
      </c>
      <c r="F98" s="7" t="s">
        <v>17</v>
      </c>
      <c r="G98" s="7">
        <v>0</v>
      </c>
      <c r="H98" s="7">
        <v>0</v>
      </c>
      <c r="I98" s="7">
        <f>IF(AND(E98=0,G98=0),1,0)</f>
        <v>0</v>
      </c>
      <c r="J98" s="7">
        <f>IF(AND(E98=0,H98=0),1,0)</f>
        <v>0</v>
      </c>
      <c r="K98" s="7">
        <f>I98*'05 Methodology'!$B$7</f>
        <v>0</v>
      </c>
      <c r="L98" s="7">
        <f>J98*'05 Methodology'!$B$7</f>
        <v>0</v>
      </c>
      <c r="M98" s="7" t="str">
        <f>IF(G98=1,"FLAG / HOLD","INDEXED")</f>
        <v>INDEXED</v>
      </c>
      <c r="N98" s="1" t="str">
        <f>IF(H98=1,"FLAG / HOLD","INDEXED")</f>
        <v>INDEXED</v>
      </c>
      <c r="O98" s="1" t="s">
        <v>18</v>
      </c>
      <c r="P98" s="1" t="s">
        <v>19</v>
      </c>
      <c r="Q98" s="1"/>
      <c r="R98" s="1"/>
      <c r="S98" s="1"/>
      <c r="T98" s="1"/>
      <c r="U98" s="1"/>
    </row>
    <row r="99" spans="1:21" x14ac:dyDescent="0.2">
      <c r="A99" s="7" t="s">
        <v>119</v>
      </c>
      <c r="B99" s="7">
        <v>6</v>
      </c>
      <c r="C99" s="7">
        <v>6</v>
      </c>
      <c r="D99" s="7" t="str">
        <f>IF(B99=C99,"MATCH","MISMATCH")</f>
        <v>MATCH</v>
      </c>
      <c r="E99" s="7">
        <f>IF(F99="None",1,0)</f>
        <v>1</v>
      </c>
      <c r="F99" s="7" t="s">
        <v>17</v>
      </c>
      <c r="G99" s="7">
        <v>0</v>
      </c>
      <c r="H99" s="7">
        <v>0</v>
      </c>
      <c r="I99" s="7">
        <f>IF(AND(E99=0,G99=0),1,0)</f>
        <v>0</v>
      </c>
      <c r="J99" s="7">
        <f>IF(AND(E99=0,H99=0),1,0)</f>
        <v>0</v>
      </c>
      <c r="K99" s="7">
        <f>I99*'05 Methodology'!$B$7</f>
        <v>0</v>
      </c>
      <c r="L99" s="7">
        <f>J99*'05 Methodology'!$B$7</f>
        <v>0</v>
      </c>
      <c r="M99" s="7" t="str">
        <f>IF(G99=1,"FLAG / HOLD","INDEXED")</f>
        <v>INDEXED</v>
      </c>
      <c r="N99" s="1" t="str">
        <f>IF(H99=1,"FLAG / HOLD","INDEXED")</f>
        <v>INDEXED</v>
      </c>
      <c r="O99" s="1" t="s">
        <v>18</v>
      </c>
      <c r="P99" s="1" t="s">
        <v>19</v>
      </c>
      <c r="Q99" s="1"/>
      <c r="R99" s="1"/>
      <c r="S99" s="1"/>
      <c r="T99" s="1"/>
      <c r="U99" s="1"/>
    </row>
    <row r="100" spans="1:21" x14ac:dyDescent="0.2">
      <c r="A100" s="7" t="s">
        <v>120</v>
      </c>
      <c r="B100" s="7">
        <v>8</v>
      </c>
      <c r="C100" s="7">
        <v>8</v>
      </c>
      <c r="D100" s="7" t="str">
        <f>IF(B100=C100,"MATCH","MISMATCH")</f>
        <v>MATCH</v>
      </c>
      <c r="E100" s="7">
        <f>IF(F100="None",1,0)</f>
        <v>1</v>
      </c>
      <c r="F100" s="7" t="s">
        <v>17</v>
      </c>
      <c r="G100" s="7">
        <v>0</v>
      </c>
      <c r="H100" s="7">
        <v>0</v>
      </c>
      <c r="I100" s="7">
        <f>IF(AND(E100=0,G100=0),1,0)</f>
        <v>0</v>
      </c>
      <c r="J100" s="7">
        <f>IF(AND(E100=0,H100=0),1,0)</f>
        <v>0</v>
      </c>
      <c r="K100" s="7">
        <f>I100*'05 Methodology'!$B$7</f>
        <v>0</v>
      </c>
      <c r="L100" s="7">
        <f>J100*'05 Methodology'!$B$7</f>
        <v>0</v>
      </c>
      <c r="M100" s="7" t="str">
        <f>IF(G100=1,"FLAG / HOLD","INDEXED")</f>
        <v>INDEXED</v>
      </c>
      <c r="N100" s="1" t="str">
        <f>IF(H100=1,"FLAG / HOLD","INDEXED")</f>
        <v>INDEXED</v>
      </c>
      <c r="O100" s="1" t="s">
        <v>18</v>
      </c>
      <c r="P100" s="1" t="s">
        <v>19</v>
      </c>
      <c r="Q100" s="1"/>
      <c r="R100" s="1"/>
      <c r="S100" s="1"/>
      <c r="T100" s="1"/>
      <c r="U100" s="1"/>
    </row>
    <row r="101" spans="1:21" x14ac:dyDescent="0.2">
      <c r="A101" s="7" t="s">
        <v>121</v>
      </c>
      <c r="B101" s="7">
        <v>4</v>
      </c>
      <c r="C101" s="7">
        <v>4</v>
      </c>
      <c r="D101" s="7" t="str">
        <f>IF(B101=C101,"MATCH","MISMATCH")</f>
        <v>MATCH</v>
      </c>
      <c r="E101" s="7">
        <f>IF(F101="None",1,0)</f>
        <v>1</v>
      </c>
      <c r="F101" s="7" t="s">
        <v>17</v>
      </c>
      <c r="G101" s="7">
        <v>0</v>
      </c>
      <c r="H101" s="7">
        <v>0</v>
      </c>
      <c r="I101" s="7">
        <f>IF(AND(E101=0,G101=0),1,0)</f>
        <v>0</v>
      </c>
      <c r="J101" s="7">
        <f>IF(AND(E101=0,H101=0),1,0)</f>
        <v>0</v>
      </c>
      <c r="K101" s="7">
        <f>I101*'05 Methodology'!$B$7</f>
        <v>0</v>
      </c>
      <c r="L101" s="7">
        <f>J101*'05 Methodology'!$B$7</f>
        <v>0</v>
      </c>
      <c r="M101" s="7" t="str">
        <f>IF(G101=1,"FLAG / HOLD","INDEXED")</f>
        <v>INDEXED</v>
      </c>
      <c r="N101" s="1" t="str">
        <f>IF(H101=1,"FLAG / HOLD","INDEXED")</f>
        <v>INDEXED</v>
      </c>
      <c r="O101" s="1" t="s">
        <v>18</v>
      </c>
      <c r="P101" s="1" t="s">
        <v>19</v>
      </c>
      <c r="Q101" s="1"/>
      <c r="R101" s="1"/>
      <c r="S101" s="1"/>
      <c r="T101" s="1"/>
      <c r="U101" s="1"/>
    </row>
    <row r="102" spans="1:21" x14ac:dyDescent="0.2">
      <c r="A102" s="7" t="s">
        <v>122</v>
      </c>
      <c r="B102" s="7">
        <v>5</v>
      </c>
      <c r="C102" s="7">
        <v>5</v>
      </c>
      <c r="D102" s="7" t="str">
        <f>IF(B102=C102,"MATCH","MISMATCH")</f>
        <v>MATCH</v>
      </c>
      <c r="E102" s="7">
        <f>IF(F102="None",1,0)</f>
        <v>1</v>
      </c>
      <c r="F102" s="7" t="s">
        <v>17</v>
      </c>
      <c r="G102" s="7">
        <v>0</v>
      </c>
      <c r="H102" s="7">
        <v>0</v>
      </c>
      <c r="I102" s="7">
        <f>IF(AND(E102=0,G102=0),1,0)</f>
        <v>0</v>
      </c>
      <c r="J102" s="7">
        <f>IF(AND(E102=0,H102=0),1,0)</f>
        <v>0</v>
      </c>
      <c r="K102" s="7">
        <f>I102*'05 Methodology'!$B$7</f>
        <v>0</v>
      </c>
      <c r="L102" s="7">
        <f>J102*'05 Methodology'!$B$7</f>
        <v>0</v>
      </c>
      <c r="M102" s="7" t="str">
        <f>IF(G102=1,"FLAG / HOLD","INDEXED")</f>
        <v>INDEXED</v>
      </c>
      <c r="N102" s="1" t="str">
        <f>IF(H102=1,"FLAG / HOLD","INDEXED")</f>
        <v>INDEXED</v>
      </c>
      <c r="O102" s="1" t="s">
        <v>18</v>
      </c>
      <c r="P102" s="1" t="s">
        <v>19</v>
      </c>
      <c r="Q102" s="1"/>
      <c r="R102" s="1"/>
      <c r="S102" s="1"/>
      <c r="T102" s="1"/>
      <c r="U102" s="1"/>
    </row>
    <row r="103" spans="1:21" x14ac:dyDescent="0.2">
      <c r="A103" s="7" t="s">
        <v>123</v>
      </c>
      <c r="B103" s="7">
        <v>6</v>
      </c>
      <c r="C103" s="7">
        <v>6</v>
      </c>
      <c r="D103" s="7" t="str">
        <f>IF(B103=C103,"MATCH","MISMATCH")</f>
        <v>MATCH</v>
      </c>
      <c r="E103" s="7">
        <f>IF(F103="None",1,0)</f>
        <v>1</v>
      </c>
      <c r="F103" s="7" t="s">
        <v>17</v>
      </c>
      <c r="G103" s="7">
        <v>0</v>
      </c>
      <c r="H103" s="7">
        <v>0</v>
      </c>
      <c r="I103" s="7">
        <f>IF(AND(E103=0,G103=0),1,0)</f>
        <v>0</v>
      </c>
      <c r="J103" s="7">
        <f>IF(AND(E103=0,H103=0),1,0)</f>
        <v>0</v>
      </c>
      <c r="K103" s="7">
        <f>I103*'05 Methodology'!$B$7</f>
        <v>0</v>
      </c>
      <c r="L103" s="7">
        <f>J103*'05 Methodology'!$B$7</f>
        <v>0</v>
      </c>
      <c r="M103" s="7" t="str">
        <f>IF(G103=1,"FLAG / HOLD","INDEXED")</f>
        <v>INDEXED</v>
      </c>
      <c r="N103" s="1" t="str">
        <f>IF(H103=1,"FLAG / HOLD","INDEXED")</f>
        <v>INDEXED</v>
      </c>
      <c r="O103" s="1" t="s">
        <v>18</v>
      </c>
      <c r="P103" s="1" t="s">
        <v>19</v>
      </c>
      <c r="Q103" s="1"/>
      <c r="R103" s="1"/>
      <c r="S103" s="1"/>
      <c r="T103" s="1"/>
      <c r="U103" s="1"/>
    </row>
    <row r="104" spans="1:21" x14ac:dyDescent="0.2">
      <c r="A104" s="7" t="s">
        <v>124</v>
      </c>
      <c r="B104" s="7">
        <v>7</v>
      </c>
      <c r="C104" s="7">
        <v>7</v>
      </c>
      <c r="D104" s="7" t="str">
        <f>IF(B104=C104,"MATCH","MISMATCH")</f>
        <v>MATCH</v>
      </c>
      <c r="E104" s="7">
        <f>IF(F104="None",1,0)</f>
        <v>1</v>
      </c>
      <c r="F104" s="7" t="s">
        <v>17</v>
      </c>
      <c r="G104" s="7">
        <v>0</v>
      </c>
      <c r="H104" s="7">
        <v>0</v>
      </c>
      <c r="I104" s="7">
        <f>IF(AND(E104=0,G104=0),1,0)</f>
        <v>0</v>
      </c>
      <c r="J104" s="7">
        <f>IF(AND(E104=0,H104=0),1,0)</f>
        <v>0</v>
      </c>
      <c r="K104" s="7">
        <f>I104*'05 Methodology'!$B$7</f>
        <v>0</v>
      </c>
      <c r="L104" s="7">
        <f>J104*'05 Methodology'!$B$7</f>
        <v>0</v>
      </c>
      <c r="M104" s="7" t="str">
        <f>IF(G104=1,"FLAG / HOLD","INDEXED")</f>
        <v>INDEXED</v>
      </c>
      <c r="N104" s="1" t="str">
        <f>IF(H104=1,"FLAG / HOLD","INDEXED")</f>
        <v>INDEXED</v>
      </c>
      <c r="O104" s="1" t="s">
        <v>18</v>
      </c>
      <c r="P104" s="1" t="s">
        <v>19</v>
      </c>
      <c r="Q104" s="1"/>
      <c r="R104" s="1"/>
      <c r="S104" s="1"/>
      <c r="T104" s="1"/>
      <c r="U104" s="1"/>
    </row>
    <row r="105" spans="1:21" x14ac:dyDescent="0.2">
      <c r="A105" s="7" t="s">
        <v>125</v>
      </c>
      <c r="B105" s="7">
        <v>8</v>
      </c>
      <c r="C105" s="7">
        <v>8</v>
      </c>
      <c r="D105" s="7" t="str">
        <f>IF(B105=C105,"MATCH","MISMATCH")</f>
        <v>MATCH</v>
      </c>
      <c r="E105" s="7">
        <f>IF(F105="None",1,0)</f>
        <v>1</v>
      </c>
      <c r="F105" s="7" t="s">
        <v>17</v>
      </c>
      <c r="G105" s="7">
        <v>0</v>
      </c>
      <c r="H105" s="7">
        <v>0</v>
      </c>
      <c r="I105" s="7">
        <f>IF(AND(E105=0,G105=0),1,0)</f>
        <v>0</v>
      </c>
      <c r="J105" s="7">
        <f>IF(AND(E105=0,H105=0),1,0)</f>
        <v>0</v>
      </c>
      <c r="K105" s="7">
        <f>I105*'05 Methodology'!$B$7</f>
        <v>0</v>
      </c>
      <c r="L105" s="7">
        <f>J105*'05 Methodology'!$B$7</f>
        <v>0</v>
      </c>
      <c r="M105" s="7" t="str">
        <f>IF(G105=1,"FLAG / HOLD","INDEXED")</f>
        <v>INDEXED</v>
      </c>
      <c r="N105" s="1" t="str">
        <f>IF(H105=1,"FLAG / HOLD","INDEXED")</f>
        <v>INDEXED</v>
      </c>
      <c r="O105" s="1" t="s">
        <v>18</v>
      </c>
      <c r="P105" s="1" t="s">
        <v>19</v>
      </c>
      <c r="Q105" s="1"/>
      <c r="R105" s="1"/>
      <c r="S105" s="1"/>
      <c r="T105" s="1"/>
      <c r="U105" s="1"/>
    </row>
    <row r="106" spans="1:21" x14ac:dyDescent="0.2">
      <c r="A106" s="7" t="s">
        <v>126</v>
      </c>
      <c r="B106" s="7">
        <v>6</v>
      </c>
      <c r="C106" s="7">
        <v>6</v>
      </c>
      <c r="D106" s="7" t="str">
        <f>IF(B106=C106,"MATCH","MISMATCH")</f>
        <v>MATCH</v>
      </c>
      <c r="E106" s="7">
        <f>IF(F106="None",1,0)</f>
        <v>1</v>
      </c>
      <c r="F106" s="7" t="s">
        <v>17</v>
      </c>
      <c r="G106" s="7">
        <v>0</v>
      </c>
      <c r="H106" s="7">
        <v>0</v>
      </c>
      <c r="I106" s="7">
        <f>IF(AND(E106=0,G106=0),1,0)</f>
        <v>0</v>
      </c>
      <c r="J106" s="7">
        <f>IF(AND(E106=0,H106=0),1,0)</f>
        <v>0</v>
      </c>
      <c r="K106" s="7">
        <f>I106*'05 Methodology'!$B$7</f>
        <v>0</v>
      </c>
      <c r="L106" s="7">
        <f>J106*'05 Methodology'!$B$7</f>
        <v>0</v>
      </c>
      <c r="M106" s="7" t="str">
        <f>IF(G106=1,"FLAG / HOLD","INDEXED")</f>
        <v>INDEXED</v>
      </c>
      <c r="N106" s="1" t="str">
        <f>IF(H106=1,"FLAG / HOLD","INDEXED")</f>
        <v>INDEXED</v>
      </c>
      <c r="O106" s="1" t="s">
        <v>18</v>
      </c>
      <c r="P106" s="1" t="s">
        <v>19</v>
      </c>
      <c r="Q106" s="1"/>
      <c r="R106" s="1"/>
      <c r="S106" s="1"/>
      <c r="T106" s="1"/>
      <c r="U106" s="1"/>
    </row>
    <row r="107" spans="1:21" x14ac:dyDescent="0.2">
      <c r="A107" s="7" t="s">
        <v>127</v>
      </c>
      <c r="B107" s="7">
        <v>5</v>
      </c>
      <c r="C107" s="7">
        <v>5</v>
      </c>
      <c r="D107" s="7" t="str">
        <f>IF(B107=C107,"MATCH","MISMATCH")</f>
        <v>MATCH</v>
      </c>
      <c r="E107" s="7">
        <f>IF(F107="None",1,0)</f>
        <v>1</v>
      </c>
      <c r="F107" s="7" t="s">
        <v>17</v>
      </c>
      <c r="G107" s="7">
        <v>0</v>
      </c>
      <c r="H107" s="7">
        <v>0</v>
      </c>
      <c r="I107" s="7">
        <f>IF(AND(E107=0,G107=0),1,0)</f>
        <v>0</v>
      </c>
      <c r="J107" s="7">
        <f>IF(AND(E107=0,H107=0),1,0)</f>
        <v>0</v>
      </c>
      <c r="K107" s="7">
        <f>I107*'05 Methodology'!$B$7</f>
        <v>0</v>
      </c>
      <c r="L107" s="7">
        <f>J107*'05 Methodology'!$B$7</f>
        <v>0</v>
      </c>
      <c r="M107" s="7" t="str">
        <f>IF(G107=1,"FLAG / HOLD","INDEXED")</f>
        <v>INDEXED</v>
      </c>
      <c r="N107" s="1" t="str">
        <f>IF(H107=1,"FLAG / HOLD","INDEXED")</f>
        <v>INDEXED</v>
      </c>
      <c r="O107" s="1" t="s">
        <v>18</v>
      </c>
      <c r="P107" s="1" t="s">
        <v>19</v>
      </c>
      <c r="Q107" s="1"/>
      <c r="R107" s="1"/>
      <c r="S107" s="1"/>
      <c r="T107" s="1"/>
      <c r="U107" s="1"/>
    </row>
    <row r="108" spans="1:21" x14ac:dyDescent="0.2">
      <c r="A108" s="7" t="s">
        <v>128</v>
      </c>
      <c r="B108" s="7">
        <v>6</v>
      </c>
      <c r="C108" s="7">
        <v>6</v>
      </c>
      <c r="D108" s="7" t="str">
        <f>IF(B108=C108,"MATCH","MISMATCH")</f>
        <v>MATCH</v>
      </c>
      <c r="E108" s="7">
        <f>IF(F108="None",1,0)</f>
        <v>1</v>
      </c>
      <c r="F108" s="7" t="s">
        <v>17</v>
      </c>
      <c r="G108" s="7">
        <v>0</v>
      </c>
      <c r="H108" s="7">
        <v>0</v>
      </c>
      <c r="I108" s="7">
        <f>IF(AND(E108=0,G108=0),1,0)</f>
        <v>0</v>
      </c>
      <c r="J108" s="7">
        <f>IF(AND(E108=0,H108=0),1,0)</f>
        <v>0</v>
      </c>
      <c r="K108" s="7">
        <f>I108*'05 Methodology'!$B$7</f>
        <v>0</v>
      </c>
      <c r="L108" s="7">
        <f>J108*'05 Methodology'!$B$7</f>
        <v>0</v>
      </c>
      <c r="M108" s="7" t="str">
        <f>IF(G108=1,"FLAG / HOLD","INDEXED")</f>
        <v>INDEXED</v>
      </c>
      <c r="N108" s="1" t="str">
        <f>IF(H108=1,"FLAG / HOLD","INDEXED")</f>
        <v>INDEXED</v>
      </c>
      <c r="O108" s="1" t="s">
        <v>18</v>
      </c>
      <c r="P108" s="1" t="s">
        <v>19</v>
      </c>
      <c r="Q108" s="1"/>
      <c r="R108" s="1"/>
      <c r="S108" s="1"/>
      <c r="T108" s="1"/>
      <c r="U108" s="1"/>
    </row>
    <row r="109" spans="1:21" x14ac:dyDescent="0.2">
      <c r="A109" s="7" t="s">
        <v>129</v>
      </c>
      <c r="B109" s="7">
        <v>7</v>
      </c>
      <c r="C109" s="7">
        <v>7</v>
      </c>
      <c r="D109" s="7" t="str">
        <f>IF(B109=C109,"MATCH","MISMATCH")</f>
        <v>MATCH</v>
      </c>
      <c r="E109" s="7">
        <f>IF(F109="None",1,0)</f>
        <v>1</v>
      </c>
      <c r="F109" s="7" t="s">
        <v>17</v>
      </c>
      <c r="G109" s="7">
        <v>0</v>
      </c>
      <c r="H109" s="7">
        <v>0</v>
      </c>
      <c r="I109" s="7">
        <f>IF(AND(E109=0,G109=0),1,0)</f>
        <v>0</v>
      </c>
      <c r="J109" s="7">
        <f>IF(AND(E109=0,H109=0),1,0)</f>
        <v>0</v>
      </c>
      <c r="K109" s="7">
        <f>I109*'05 Methodology'!$B$7</f>
        <v>0</v>
      </c>
      <c r="L109" s="7">
        <f>J109*'05 Methodology'!$B$7</f>
        <v>0</v>
      </c>
      <c r="M109" s="7" t="str">
        <f>IF(G109=1,"FLAG / HOLD","INDEXED")</f>
        <v>INDEXED</v>
      </c>
      <c r="N109" s="1" t="str">
        <f>IF(H109=1,"FLAG / HOLD","INDEXED")</f>
        <v>INDEXED</v>
      </c>
      <c r="O109" s="1" t="s">
        <v>18</v>
      </c>
      <c r="P109" s="1" t="s">
        <v>19</v>
      </c>
      <c r="Q109" s="1"/>
      <c r="R109" s="1"/>
      <c r="S109" s="1"/>
      <c r="T109" s="1"/>
      <c r="U109" s="1"/>
    </row>
    <row r="110" spans="1:21" x14ac:dyDescent="0.2">
      <c r="A110" s="7" t="s">
        <v>130</v>
      </c>
      <c r="B110" s="7">
        <v>8</v>
      </c>
      <c r="C110" s="7">
        <v>8</v>
      </c>
      <c r="D110" s="7" t="str">
        <f>IF(B110=C110,"MATCH","MISMATCH")</f>
        <v>MATCH</v>
      </c>
      <c r="E110" s="7">
        <f>IF(F110="None",1,0)</f>
        <v>1</v>
      </c>
      <c r="F110" s="7" t="s">
        <v>17</v>
      </c>
      <c r="G110" s="7">
        <v>0</v>
      </c>
      <c r="H110" s="7">
        <v>0</v>
      </c>
      <c r="I110" s="7">
        <f>IF(AND(E110=0,G110=0),1,0)</f>
        <v>0</v>
      </c>
      <c r="J110" s="7">
        <f>IF(AND(E110=0,H110=0),1,0)</f>
        <v>0</v>
      </c>
      <c r="K110" s="7">
        <f>I110*'05 Methodology'!$B$7</f>
        <v>0</v>
      </c>
      <c r="L110" s="7">
        <f>J110*'05 Methodology'!$B$7</f>
        <v>0</v>
      </c>
      <c r="M110" s="7" t="str">
        <f>IF(G110=1,"FLAG / HOLD","INDEXED")</f>
        <v>INDEXED</v>
      </c>
      <c r="N110" s="1" t="str">
        <f>IF(H110=1,"FLAG / HOLD","INDEXED")</f>
        <v>INDEXED</v>
      </c>
      <c r="O110" s="1" t="s">
        <v>18</v>
      </c>
      <c r="P110" s="1" t="s">
        <v>19</v>
      </c>
      <c r="Q110" s="1"/>
      <c r="R110" s="1"/>
      <c r="S110" s="1"/>
      <c r="T110" s="1"/>
      <c r="U110" s="1"/>
    </row>
    <row r="111" spans="1:21" x14ac:dyDescent="0.2">
      <c r="A111" s="7" t="s">
        <v>131</v>
      </c>
      <c r="B111" s="7">
        <v>4</v>
      </c>
      <c r="C111" s="7">
        <v>4</v>
      </c>
      <c r="D111" s="7" t="str">
        <f>IF(B111=C111,"MATCH","MISMATCH")</f>
        <v>MATCH</v>
      </c>
      <c r="E111" s="7">
        <f>IF(F111="None",1,0)</f>
        <v>1</v>
      </c>
      <c r="F111" s="7" t="s">
        <v>17</v>
      </c>
      <c r="G111" s="7">
        <v>0</v>
      </c>
      <c r="H111" s="7">
        <v>0</v>
      </c>
      <c r="I111" s="7">
        <f>IF(AND(E111=0,G111=0),1,0)</f>
        <v>0</v>
      </c>
      <c r="J111" s="7">
        <f>IF(AND(E111=0,H111=0),1,0)</f>
        <v>0</v>
      </c>
      <c r="K111" s="7">
        <f>I111*'05 Methodology'!$B$7</f>
        <v>0</v>
      </c>
      <c r="L111" s="7">
        <f>J111*'05 Methodology'!$B$7</f>
        <v>0</v>
      </c>
      <c r="M111" s="7" t="str">
        <f>IF(G111=1,"FLAG / HOLD","INDEXED")</f>
        <v>INDEXED</v>
      </c>
      <c r="N111" s="1" t="str">
        <f>IF(H111=1,"FLAG / HOLD","INDEXED")</f>
        <v>INDEXED</v>
      </c>
      <c r="O111" s="1" t="s">
        <v>18</v>
      </c>
      <c r="P111" s="1" t="s">
        <v>19</v>
      </c>
      <c r="Q111" s="1"/>
      <c r="R111" s="1"/>
      <c r="S111" s="1"/>
      <c r="T111" s="1"/>
      <c r="U111" s="1"/>
    </row>
    <row r="112" spans="1:21" x14ac:dyDescent="0.2">
      <c r="A112" s="7" t="s">
        <v>132</v>
      </c>
      <c r="B112" s="7">
        <v>5</v>
      </c>
      <c r="C112" s="7">
        <v>5</v>
      </c>
      <c r="D112" s="7" t="str">
        <f>IF(B112=C112,"MATCH","MISMATCH")</f>
        <v>MATCH</v>
      </c>
      <c r="E112" s="7">
        <f>IF(F112="None",1,0)</f>
        <v>1</v>
      </c>
      <c r="F112" s="7" t="s">
        <v>17</v>
      </c>
      <c r="G112" s="7">
        <v>0</v>
      </c>
      <c r="H112" s="7">
        <v>0</v>
      </c>
      <c r="I112" s="7">
        <f>IF(AND(E112=0,G112=0),1,0)</f>
        <v>0</v>
      </c>
      <c r="J112" s="7">
        <f>IF(AND(E112=0,H112=0),1,0)</f>
        <v>0</v>
      </c>
      <c r="K112" s="7">
        <f>I112*'05 Methodology'!$B$7</f>
        <v>0</v>
      </c>
      <c r="L112" s="7">
        <f>J112*'05 Methodology'!$B$7</f>
        <v>0</v>
      </c>
      <c r="M112" s="7" t="str">
        <f>IF(G112=1,"FLAG / HOLD","INDEXED")</f>
        <v>INDEXED</v>
      </c>
      <c r="N112" s="1" t="str">
        <f>IF(H112=1,"FLAG / HOLD","INDEXED")</f>
        <v>INDEXED</v>
      </c>
      <c r="O112" s="1" t="s">
        <v>18</v>
      </c>
      <c r="P112" s="1" t="s">
        <v>19</v>
      </c>
      <c r="Q112" s="1"/>
      <c r="R112" s="1"/>
      <c r="S112" s="1"/>
      <c r="T112" s="1"/>
      <c r="U112" s="1"/>
    </row>
    <row r="113" spans="1:21" x14ac:dyDescent="0.2">
      <c r="A113" s="7" t="s">
        <v>133</v>
      </c>
      <c r="B113" s="7">
        <v>6</v>
      </c>
      <c r="C113" s="7">
        <v>6</v>
      </c>
      <c r="D113" s="7" t="str">
        <f>IF(B113=C113,"MATCH","MISMATCH")</f>
        <v>MATCH</v>
      </c>
      <c r="E113" s="7">
        <f>IF(F113="None",1,0)</f>
        <v>1</v>
      </c>
      <c r="F113" s="7" t="s">
        <v>17</v>
      </c>
      <c r="G113" s="7">
        <v>0</v>
      </c>
      <c r="H113" s="7">
        <v>0</v>
      </c>
      <c r="I113" s="7">
        <f>IF(AND(E113=0,G113=0),1,0)</f>
        <v>0</v>
      </c>
      <c r="J113" s="7">
        <f>IF(AND(E113=0,H113=0),1,0)</f>
        <v>0</v>
      </c>
      <c r="K113" s="7">
        <f>I113*'05 Methodology'!$B$7</f>
        <v>0</v>
      </c>
      <c r="L113" s="7">
        <f>J113*'05 Methodology'!$B$7</f>
        <v>0</v>
      </c>
      <c r="M113" s="7" t="str">
        <f>IF(G113=1,"FLAG / HOLD","INDEXED")</f>
        <v>INDEXED</v>
      </c>
      <c r="N113" s="1" t="str">
        <f>IF(H113=1,"FLAG / HOLD","INDEXED")</f>
        <v>INDEXED</v>
      </c>
      <c r="O113" s="1" t="s">
        <v>18</v>
      </c>
      <c r="P113" s="1" t="s">
        <v>19</v>
      </c>
      <c r="Q113" s="1"/>
      <c r="R113" s="1"/>
      <c r="S113" s="1"/>
      <c r="T113" s="1"/>
      <c r="U113" s="1"/>
    </row>
    <row r="114" spans="1:21" x14ac:dyDescent="0.2">
      <c r="A114" s="7" t="s">
        <v>134</v>
      </c>
      <c r="B114" s="7">
        <v>7</v>
      </c>
      <c r="C114" s="7">
        <v>7</v>
      </c>
      <c r="D114" s="7" t="str">
        <f>IF(B114=C114,"MATCH","MISMATCH")</f>
        <v>MATCH</v>
      </c>
      <c r="E114" s="7">
        <f>IF(F114="None",1,0)</f>
        <v>1</v>
      </c>
      <c r="F114" s="7" t="s">
        <v>17</v>
      </c>
      <c r="G114" s="7">
        <v>0</v>
      </c>
      <c r="H114" s="7">
        <v>0</v>
      </c>
      <c r="I114" s="7">
        <f>IF(AND(E114=0,G114=0),1,0)</f>
        <v>0</v>
      </c>
      <c r="J114" s="7">
        <f>IF(AND(E114=0,H114=0),1,0)</f>
        <v>0</v>
      </c>
      <c r="K114" s="7">
        <f>I114*'05 Methodology'!$B$7</f>
        <v>0</v>
      </c>
      <c r="L114" s="7">
        <f>J114*'05 Methodology'!$B$7</f>
        <v>0</v>
      </c>
      <c r="M114" s="7" t="str">
        <f>IF(G114=1,"FLAG / HOLD","INDEXED")</f>
        <v>INDEXED</v>
      </c>
      <c r="N114" s="1" t="str">
        <f>IF(H114=1,"FLAG / HOLD","INDEXED")</f>
        <v>INDEXED</v>
      </c>
      <c r="O114" s="1" t="s">
        <v>18</v>
      </c>
      <c r="P114" s="1" t="s">
        <v>19</v>
      </c>
      <c r="Q114" s="1"/>
      <c r="R114" s="1"/>
      <c r="S114" s="1"/>
      <c r="T114" s="1"/>
      <c r="U114" s="1"/>
    </row>
    <row r="115" spans="1:21" x14ac:dyDescent="0.2">
      <c r="A115" s="7" t="s">
        <v>135</v>
      </c>
      <c r="B115" s="7">
        <v>8</v>
      </c>
      <c r="C115" s="7">
        <v>8</v>
      </c>
      <c r="D115" s="7" t="str">
        <f>IF(B115=C115,"MATCH","MISMATCH")</f>
        <v>MATCH</v>
      </c>
      <c r="E115" s="7">
        <f>IF(F115="None",1,0)</f>
        <v>1</v>
      </c>
      <c r="F115" s="7" t="s">
        <v>17</v>
      </c>
      <c r="G115" s="7">
        <v>0</v>
      </c>
      <c r="H115" s="7">
        <v>0</v>
      </c>
      <c r="I115" s="7">
        <f>IF(AND(E115=0,G115=0),1,0)</f>
        <v>0</v>
      </c>
      <c r="J115" s="7">
        <f>IF(AND(E115=0,H115=0),1,0)</f>
        <v>0</v>
      </c>
      <c r="K115" s="7">
        <f>I115*'05 Methodology'!$B$7</f>
        <v>0</v>
      </c>
      <c r="L115" s="7">
        <f>J115*'05 Methodology'!$B$7</f>
        <v>0</v>
      </c>
      <c r="M115" s="7" t="str">
        <f>IF(G115=1,"FLAG / HOLD","INDEXED")</f>
        <v>INDEXED</v>
      </c>
      <c r="N115" s="1" t="str">
        <f>IF(H115=1,"FLAG / HOLD","INDEXED")</f>
        <v>INDEXED</v>
      </c>
      <c r="O115" s="1" t="s">
        <v>18</v>
      </c>
      <c r="P115" s="1" t="s">
        <v>19</v>
      </c>
      <c r="Q115" s="1"/>
      <c r="R115" s="1"/>
      <c r="S115" s="1"/>
      <c r="T115" s="1"/>
      <c r="U115" s="1"/>
    </row>
    <row r="116" spans="1:21" x14ac:dyDescent="0.2">
      <c r="A116" s="7" t="s">
        <v>136</v>
      </c>
      <c r="B116" s="7">
        <v>4</v>
      </c>
      <c r="C116" s="7">
        <v>4</v>
      </c>
      <c r="D116" s="7" t="str">
        <f>IF(B116=C116,"MATCH","MISMATCH")</f>
        <v>MATCH</v>
      </c>
      <c r="E116" s="7">
        <f>IF(F116="None",1,0)</f>
        <v>1</v>
      </c>
      <c r="F116" s="7" t="s">
        <v>17</v>
      </c>
      <c r="G116" s="7">
        <v>0</v>
      </c>
      <c r="H116" s="7">
        <v>0</v>
      </c>
      <c r="I116" s="7">
        <f>IF(AND(E116=0,G116=0),1,0)</f>
        <v>0</v>
      </c>
      <c r="J116" s="7">
        <f>IF(AND(E116=0,H116=0),1,0)</f>
        <v>0</v>
      </c>
      <c r="K116" s="7">
        <f>I116*'05 Methodology'!$B$7</f>
        <v>0</v>
      </c>
      <c r="L116" s="7">
        <f>J116*'05 Methodology'!$B$7</f>
        <v>0</v>
      </c>
      <c r="M116" s="7" t="str">
        <f>IF(G116=1,"FLAG / HOLD","INDEXED")</f>
        <v>INDEXED</v>
      </c>
      <c r="N116" s="1" t="str">
        <f>IF(H116=1,"FLAG / HOLD","INDEXED")</f>
        <v>INDEXED</v>
      </c>
      <c r="O116" s="1" t="s">
        <v>18</v>
      </c>
      <c r="P116" s="1" t="s">
        <v>19</v>
      </c>
      <c r="Q116" s="1"/>
      <c r="R116" s="1"/>
      <c r="S116" s="1"/>
      <c r="T116" s="1"/>
      <c r="U116" s="1"/>
    </row>
    <row r="117" spans="1:21" x14ac:dyDescent="0.2">
      <c r="A117" s="7" t="s">
        <v>137</v>
      </c>
      <c r="B117" s="7">
        <v>5</v>
      </c>
      <c r="C117" s="7">
        <v>5</v>
      </c>
      <c r="D117" s="7" t="str">
        <f>IF(B117=C117,"MATCH","MISMATCH")</f>
        <v>MATCH</v>
      </c>
      <c r="E117" s="7">
        <f>IF(F117="None",1,0)</f>
        <v>1</v>
      </c>
      <c r="F117" s="7" t="s">
        <v>17</v>
      </c>
      <c r="G117" s="7">
        <v>0</v>
      </c>
      <c r="H117" s="7">
        <v>0</v>
      </c>
      <c r="I117" s="7">
        <f>IF(AND(E117=0,G117=0),1,0)</f>
        <v>0</v>
      </c>
      <c r="J117" s="7">
        <f>IF(AND(E117=0,H117=0),1,0)</f>
        <v>0</v>
      </c>
      <c r="K117" s="7">
        <f>I117*'05 Methodology'!$B$7</f>
        <v>0</v>
      </c>
      <c r="L117" s="7">
        <f>J117*'05 Methodology'!$B$7</f>
        <v>0</v>
      </c>
      <c r="M117" s="7" t="str">
        <f>IF(G117=1,"FLAG / HOLD","INDEXED")</f>
        <v>INDEXED</v>
      </c>
      <c r="N117" s="1" t="str">
        <f>IF(H117=1,"FLAG / HOLD","INDEXED")</f>
        <v>INDEXED</v>
      </c>
      <c r="O117" s="1" t="s">
        <v>18</v>
      </c>
      <c r="P117" s="1" t="s">
        <v>19</v>
      </c>
      <c r="Q117" s="1"/>
      <c r="R117" s="1"/>
      <c r="S117" s="1"/>
      <c r="T117" s="1"/>
      <c r="U117" s="1"/>
    </row>
    <row r="118" spans="1:21" x14ac:dyDescent="0.2">
      <c r="A118" s="7" t="s">
        <v>138</v>
      </c>
      <c r="B118" s="7">
        <v>6</v>
      </c>
      <c r="C118" s="7">
        <v>6</v>
      </c>
      <c r="D118" s="7" t="str">
        <f>IF(B118=C118,"MATCH","MISMATCH")</f>
        <v>MATCH</v>
      </c>
      <c r="E118" s="7">
        <f>IF(F118="None",1,0)</f>
        <v>1</v>
      </c>
      <c r="F118" s="7" t="s">
        <v>17</v>
      </c>
      <c r="G118" s="7">
        <v>0</v>
      </c>
      <c r="H118" s="7">
        <v>0</v>
      </c>
      <c r="I118" s="7">
        <f>IF(AND(E118=0,G118=0),1,0)</f>
        <v>0</v>
      </c>
      <c r="J118" s="7">
        <f>IF(AND(E118=0,H118=0),1,0)</f>
        <v>0</v>
      </c>
      <c r="K118" s="7">
        <f>I118*'05 Methodology'!$B$7</f>
        <v>0</v>
      </c>
      <c r="L118" s="7">
        <f>J118*'05 Methodology'!$B$7</f>
        <v>0</v>
      </c>
      <c r="M118" s="7" t="str">
        <f>IF(G118=1,"FLAG / HOLD","INDEXED")</f>
        <v>INDEXED</v>
      </c>
      <c r="N118" s="1" t="str">
        <f>IF(H118=1,"FLAG / HOLD","INDEXED")</f>
        <v>INDEXED</v>
      </c>
      <c r="O118" s="1" t="s">
        <v>18</v>
      </c>
      <c r="P118" s="1" t="s">
        <v>19</v>
      </c>
      <c r="Q118" s="1"/>
      <c r="R118" s="1"/>
      <c r="S118" s="1"/>
      <c r="T118" s="1"/>
      <c r="U118" s="1"/>
    </row>
    <row r="119" spans="1:21" x14ac:dyDescent="0.2">
      <c r="A119" s="7" t="s">
        <v>139</v>
      </c>
      <c r="B119" s="7">
        <v>7</v>
      </c>
      <c r="C119" s="7">
        <v>7</v>
      </c>
      <c r="D119" s="7" t="str">
        <f>IF(B119=C119,"MATCH","MISMATCH")</f>
        <v>MATCH</v>
      </c>
      <c r="E119" s="7">
        <f>IF(F119="None",1,0)</f>
        <v>1</v>
      </c>
      <c r="F119" s="7" t="s">
        <v>17</v>
      </c>
      <c r="G119" s="7">
        <v>0</v>
      </c>
      <c r="H119" s="7">
        <v>0</v>
      </c>
      <c r="I119" s="7">
        <f>IF(AND(E119=0,G119=0),1,0)</f>
        <v>0</v>
      </c>
      <c r="J119" s="7">
        <f>IF(AND(E119=0,H119=0),1,0)</f>
        <v>0</v>
      </c>
      <c r="K119" s="7">
        <f>I119*'05 Methodology'!$B$7</f>
        <v>0</v>
      </c>
      <c r="L119" s="7">
        <f>J119*'05 Methodology'!$B$7</f>
        <v>0</v>
      </c>
      <c r="M119" s="7" t="str">
        <f>IF(G119=1,"FLAG / HOLD","INDEXED")</f>
        <v>INDEXED</v>
      </c>
      <c r="N119" s="1" t="str">
        <f>IF(H119=1,"FLAG / HOLD","INDEXED")</f>
        <v>INDEXED</v>
      </c>
      <c r="O119" s="1" t="s">
        <v>18</v>
      </c>
      <c r="P119" s="1" t="s">
        <v>19</v>
      </c>
      <c r="Q119" s="1"/>
      <c r="R119" s="1"/>
      <c r="S119" s="1"/>
      <c r="T119" s="1"/>
      <c r="U119" s="1"/>
    </row>
    <row r="120" spans="1:21" x14ac:dyDescent="0.2">
      <c r="A120" s="7" t="s">
        <v>140</v>
      </c>
      <c r="B120" s="7">
        <v>6</v>
      </c>
      <c r="C120" s="7">
        <v>5</v>
      </c>
      <c r="D120" s="7" t="str">
        <f>IF(B120=C120,"MATCH","MISMATCH")</f>
        <v>MISMATCH</v>
      </c>
      <c r="E120" s="7">
        <f>IF(F120="None",1,0)</f>
        <v>0</v>
      </c>
      <c r="F120" s="7" t="s">
        <v>38</v>
      </c>
      <c r="G120" s="7">
        <v>1</v>
      </c>
      <c r="H120" s="7">
        <v>1</v>
      </c>
      <c r="I120" s="7">
        <f>IF(AND(E120=0,G120=0),1,0)</f>
        <v>0</v>
      </c>
      <c r="J120" s="7">
        <f>IF(AND(E120=0,H120=0),1,0)</f>
        <v>0</v>
      </c>
      <c r="K120" s="7">
        <f>I120*'05 Methodology'!$B$7</f>
        <v>0</v>
      </c>
      <c r="L120" s="7">
        <f>J120*'05 Methodology'!$B$7</f>
        <v>0</v>
      </c>
      <c r="M120" s="7" t="str">
        <f>IF(G120=1,"FLAG / HOLD","INDEXED")</f>
        <v>FLAG / HOLD</v>
      </c>
      <c r="N120" s="1" t="str">
        <f>IF(H120=1,"FLAG / HOLD","INDEXED")</f>
        <v>FLAG / HOLD</v>
      </c>
      <c r="O120" s="1" t="s">
        <v>18</v>
      </c>
      <c r="P120" s="1" t="s">
        <v>19</v>
      </c>
      <c r="Q120" s="1"/>
      <c r="R120" s="1"/>
      <c r="S120" s="1"/>
      <c r="T120" s="1"/>
      <c r="U120" s="1"/>
    </row>
    <row r="121" spans="1:21" x14ac:dyDescent="0.2">
      <c r="A121" s="7" t="s">
        <v>141</v>
      </c>
      <c r="B121" s="7">
        <v>4</v>
      </c>
      <c r="C121" s="7">
        <v>4</v>
      </c>
      <c r="D121" s="7" t="str">
        <f>IF(B121=C121,"MATCH","MISMATCH")</f>
        <v>MATCH</v>
      </c>
      <c r="E121" s="7">
        <f>IF(F121="None",1,0)</f>
        <v>1</v>
      </c>
      <c r="F121" s="7" t="s">
        <v>17</v>
      </c>
      <c r="G121" s="7">
        <v>0</v>
      </c>
      <c r="H121" s="7">
        <v>0</v>
      </c>
      <c r="I121" s="7">
        <f>IF(AND(E121=0,G121=0),1,0)</f>
        <v>0</v>
      </c>
      <c r="J121" s="7">
        <f>IF(AND(E121=0,H121=0),1,0)</f>
        <v>0</v>
      </c>
      <c r="K121" s="7">
        <f>I121*'05 Methodology'!$B$7</f>
        <v>0</v>
      </c>
      <c r="L121" s="7">
        <f>J121*'05 Methodology'!$B$7</f>
        <v>0</v>
      </c>
      <c r="M121" s="7" t="str">
        <f>IF(G121=1,"FLAG / HOLD","INDEXED")</f>
        <v>INDEXED</v>
      </c>
      <c r="N121" s="1" t="str">
        <f>IF(H121=1,"FLAG / HOLD","INDEXED")</f>
        <v>INDEXED</v>
      </c>
      <c r="O121" s="1" t="s">
        <v>18</v>
      </c>
      <c r="P121" s="1" t="s">
        <v>19</v>
      </c>
      <c r="Q121" s="1"/>
      <c r="R121" s="1"/>
      <c r="S121" s="1"/>
      <c r="T121" s="1"/>
      <c r="U121" s="1"/>
    </row>
    <row r="122" spans="1:21" x14ac:dyDescent="0.2">
      <c r="A122" s="7" t="s">
        <v>142</v>
      </c>
      <c r="B122" s="7">
        <v>5</v>
      </c>
      <c r="C122" s="7">
        <v>5</v>
      </c>
      <c r="D122" s="7" t="str">
        <f>IF(B122=C122,"MATCH","MISMATCH")</f>
        <v>MATCH</v>
      </c>
      <c r="E122" s="7">
        <f>IF(F122="None",1,0)</f>
        <v>1</v>
      </c>
      <c r="F122" s="7" t="s">
        <v>17</v>
      </c>
      <c r="G122" s="7">
        <v>0</v>
      </c>
      <c r="H122" s="7">
        <v>0</v>
      </c>
      <c r="I122" s="7">
        <f>IF(AND(E122=0,G122=0),1,0)</f>
        <v>0</v>
      </c>
      <c r="J122" s="7">
        <f>IF(AND(E122=0,H122=0),1,0)</f>
        <v>0</v>
      </c>
      <c r="K122" s="7">
        <f>I122*'05 Methodology'!$B$7</f>
        <v>0</v>
      </c>
      <c r="L122" s="7">
        <f>J122*'05 Methodology'!$B$7</f>
        <v>0</v>
      </c>
      <c r="M122" s="7" t="str">
        <f>IF(G122=1,"FLAG / HOLD","INDEXED")</f>
        <v>INDEXED</v>
      </c>
      <c r="N122" s="1" t="str">
        <f>IF(H122=1,"FLAG / HOLD","INDEXED")</f>
        <v>INDEXED</v>
      </c>
      <c r="O122" s="1" t="s">
        <v>18</v>
      </c>
      <c r="P122" s="1" t="s">
        <v>19</v>
      </c>
      <c r="Q122" s="1"/>
      <c r="R122" s="1"/>
      <c r="S122" s="1"/>
      <c r="T122" s="1"/>
      <c r="U122" s="1"/>
    </row>
    <row r="123" spans="1:21" x14ac:dyDescent="0.2">
      <c r="A123" s="7" t="s">
        <v>143</v>
      </c>
      <c r="B123" s="7">
        <v>6</v>
      </c>
      <c r="C123" s="7">
        <v>6</v>
      </c>
      <c r="D123" s="7" t="str">
        <f>IF(B123=C123,"MATCH","MISMATCH")</f>
        <v>MATCH</v>
      </c>
      <c r="E123" s="7">
        <f>IF(F123="None",1,0)</f>
        <v>1</v>
      </c>
      <c r="F123" s="7" t="s">
        <v>17</v>
      </c>
      <c r="G123" s="7">
        <v>0</v>
      </c>
      <c r="H123" s="7">
        <v>0</v>
      </c>
      <c r="I123" s="7">
        <f>IF(AND(E123=0,G123=0),1,0)</f>
        <v>0</v>
      </c>
      <c r="J123" s="7">
        <f>IF(AND(E123=0,H123=0),1,0)</f>
        <v>0</v>
      </c>
      <c r="K123" s="7">
        <f>I123*'05 Methodology'!$B$7</f>
        <v>0</v>
      </c>
      <c r="L123" s="7">
        <f>J123*'05 Methodology'!$B$7</f>
        <v>0</v>
      </c>
      <c r="M123" s="7" t="str">
        <f>IF(G123=1,"FLAG / HOLD","INDEXED")</f>
        <v>INDEXED</v>
      </c>
      <c r="N123" s="1" t="str">
        <f>IF(H123=1,"FLAG / HOLD","INDEXED")</f>
        <v>INDEXED</v>
      </c>
      <c r="O123" s="1" t="s">
        <v>18</v>
      </c>
      <c r="P123" s="1" t="s">
        <v>19</v>
      </c>
      <c r="Q123" s="1"/>
      <c r="R123" s="1"/>
      <c r="S123" s="1"/>
      <c r="T123" s="1"/>
      <c r="U123" s="1"/>
    </row>
    <row r="124" spans="1:21" x14ac:dyDescent="0.2">
      <c r="A124" s="7" t="s">
        <v>144</v>
      </c>
      <c r="B124" s="7">
        <v>7</v>
      </c>
      <c r="C124" s="7">
        <v>7</v>
      </c>
      <c r="D124" s="7" t="str">
        <f>IF(B124=C124,"MATCH","MISMATCH")</f>
        <v>MATCH</v>
      </c>
      <c r="E124" s="7">
        <f>IF(F124="None",1,0)</f>
        <v>1</v>
      </c>
      <c r="F124" s="7" t="s">
        <v>17</v>
      </c>
      <c r="G124" s="7">
        <v>0</v>
      </c>
      <c r="H124" s="7">
        <v>0</v>
      </c>
      <c r="I124" s="7">
        <f>IF(AND(E124=0,G124=0),1,0)</f>
        <v>0</v>
      </c>
      <c r="J124" s="7">
        <f>IF(AND(E124=0,H124=0),1,0)</f>
        <v>0</v>
      </c>
      <c r="K124" s="7">
        <f>I124*'05 Methodology'!$B$7</f>
        <v>0</v>
      </c>
      <c r="L124" s="7">
        <f>J124*'05 Methodology'!$B$7</f>
        <v>0</v>
      </c>
      <c r="M124" s="7" t="str">
        <f>IF(G124=1,"FLAG / HOLD","INDEXED")</f>
        <v>INDEXED</v>
      </c>
      <c r="N124" s="1" t="str">
        <f>IF(H124=1,"FLAG / HOLD","INDEXED")</f>
        <v>INDEXED</v>
      </c>
      <c r="O124" s="1" t="s">
        <v>18</v>
      </c>
      <c r="P124" s="1" t="s">
        <v>19</v>
      </c>
      <c r="Q124" s="1"/>
      <c r="R124" s="1"/>
      <c r="S124" s="1"/>
      <c r="T124" s="1"/>
      <c r="U124" s="1"/>
    </row>
    <row r="125" spans="1:21" x14ac:dyDescent="0.2">
      <c r="A125" s="7" t="s">
        <v>145</v>
      </c>
      <c r="B125" s="7">
        <v>8</v>
      </c>
      <c r="C125" s="7">
        <v>8</v>
      </c>
      <c r="D125" s="7" t="str">
        <f>IF(B125=C125,"MATCH","MISMATCH")</f>
        <v>MATCH</v>
      </c>
      <c r="E125" s="7">
        <f>IF(F125="None",1,0)</f>
        <v>1</v>
      </c>
      <c r="F125" s="7" t="s">
        <v>17</v>
      </c>
      <c r="G125" s="7">
        <v>0</v>
      </c>
      <c r="H125" s="7">
        <v>0</v>
      </c>
      <c r="I125" s="7">
        <f>IF(AND(E125=0,G125=0),1,0)</f>
        <v>0</v>
      </c>
      <c r="J125" s="7">
        <f>IF(AND(E125=0,H125=0),1,0)</f>
        <v>0</v>
      </c>
      <c r="K125" s="7">
        <f>I125*'05 Methodology'!$B$7</f>
        <v>0</v>
      </c>
      <c r="L125" s="7">
        <f>J125*'05 Methodology'!$B$7</f>
        <v>0</v>
      </c>
      <c r="M125" s="7" t="str">
        <f>IF(G125=1,"FLAG / HOLD","INDEXED")</f>
        <v>INDEXED</v>
      </c>
      <c r="N125" s="1" t="str">
        <f>IF(H125=1,"FLAG / HOLD","INDEXED")</f>
        <v>INDEXED</v>
      </c>
      <c r="O125" s="1" t="s">
        <v>18</v>
      </c>
      <c r="P125" s="1" t="s">
        <v>19</v>
      </c>
      <c r="Q125" s="1"/>
      <c r="R125" s="1"/>
      <c r="S125" s="1"/>
      <c r="T125" s="1"/>
      <c r="U125" s="1"/>
    </row>
    <row r="126" spans="1:21" x14ac:dyDescent="0.2">
      <c r="A126" s="7" t="s">
        <v>146</v>
      </c>
      <c r="B126" s="7">
        <v>4</v>
      </c>
      <c r="C126" s="7">
        <v>4</v>
      </c>
      <c r="D126" s="7" t="str">
        <f>IF(B126=C126,"MATCH","MISMATCH")</f>
        <v>MATCH</v>
      </c>
      <c r="E126" s="7">
        <f>IF(F126="None",1,0)</f>
        <v>1</v>
      </c>
      <c r="F126" s="7" t="s">
        <v>17</v>
      </c>
      <c r="G126" s="7">
        <v>0</v>
      </c>
      <c r="H126" s="7">
        <v>0</v>
      </c>
      <c r="I126" s="7">
        <f>IF(AND(E126=0,G126=0),1,0)</f>
        <v>0</v>
      </c>
      <c r="J126" s="7">
        <f>IF(AND(E126=0,H126=0),1,0)</f>
        <v>0</v>
      </c>
      <c r="K126" s="7">
        <f>I126*'05 Methodology'!$B$7</f>
        <v>0</v>
      </c>
      <c r="L126" s="7">
        <f>J126*'05 Methodology'!$B$7</f>
        <v>0</v>
      </c>
      <c r="M126" s="7" t="str">
        <f>IF(G126=1,"FLAG / HOLD","INDEXED")</f>
        <v>INDEXED</v>
      </c>
      <c r="N126" s="1" t="str">
        <f>IF(H126=1,"FLAG / HOLD","INDEXED")</f>
        <v>INDEXED</v>
      </c>
      <c r="O126" s="1" t="s">
        <v>18</v>
      </c>
      <c r="P126" s="1" t="s">
        <v>19</v>
      </c>
      <c r="Q126" s="1"/>
      <c r="R126" s="1"/>
      <c r="S126" s="1"/>
      <c r="T126" s="1"/>
      <c r="U126" s="1"/>
    </row>
    <row r="127" spans="1:21" x14ac:dyDescent="0.2">
      <c r="A127" s="7" t="s">
        <v>147</v>
      </c>
      <c r="B127" s="7">
        <v>6</v>
      </c>
      <c r="C127" s="7">
        <v>6</v>
      </c>
      <c r="D127" s="7" t="str">
        <f>IF(B127=C127,"MATCH","MISMATCH")</f>
        <v>MATCH</v>
      </c>
      <c r="E127" s="7">
        <f>IF(F127="None",1,0)</f>
        <v>1</v>
      </c>
      <c r="F127" s="7" t="s">
        <v>17</v>
      </c>
      <c r="G127" s="7">
        <v>0</v>
      </c>
      <c r="H127" s="7">
        <v>0</v>
      </c>
      <c r="I127" s="7">
        <f>IF(AND(E127=0,G127=0),1,0)</f>
        <v>0</v>
      </c>
      <c r="J127" s="7">
        <f>IF(AND(E127=0,H127=0),1,0)</f>
        <v>0</v>
      </c>
      <c r="K127" s="7">
        <f>I127*'05 Methodology'!$B$7</f>
        <v>0</v>
      </c>
      <c r="L127" s="7">
        <f>J127*'05 Methodology'!$B$7</f>
        <v>0</v>
      </c>
      <c r="M127" s="7" t="str">
        <f>IF(G127=1,"FLAG / HOLD","INDEXED")</f>
        <v>INDEXED</v>
      </c>
      <c r="N127" s="1" t="str">
        <f>IF(H127=1,"FLAG / HOLD","INDEXED")</f>
        <v>INDEXED</v>
      </c>
      <c r="O127" s="1" t="s">
        <v>18</v>
      </c>
      <c r="P127" s="1" t="s">
        <v>19</v>
      </c>
      <c r="Q127" s="1"/>
      <c r="R127" s="1"/>
      <c r="S127" s="1"/>
      <c r="T127" s="1"/>
      <c r="U127" s="1"/>
    </row>
    <row r="128" spans="1:21" x14ac:dyDescent="0.2">
      <c r="A128" s="7" t="s">
        <v>148</v>
      </c>
      <c r="B128" s="7">
        <v>6</v>
      </c>
      <c r="C128" s="7">
        <v>6</v>
      </c>
      <c r="D128" s="7" t="str">
        <f>IF(B128=C128,"MATCH","MISMATCH")</f>
        <v>MATCH</v>
      </c>
      <c r="E128" s="7">
        <f>IF(F128="None",1,0)</f>
        <v>1</v>
      </c>
      <c r="F128" s="7" t="s">
        <v>17</v>
      </c>
      <c r="G128" s="7">
        <v>0</v>
      </c>
      <c r="H128" s="7">
        <v>0</v>
      </c>
      <c r="I128" s="7">
        <f>IF(AND(E128=0,G128=0),1,0)</f>
        <v>0</v>
      </c>
      <c r="J128" s="7">
        <f>IF(AND(E128=0,H128=0),1,0)</f>
        <v>0</v>
      </c>
      <c r="K128" s="7">
        <f>I128*'05 Methodology'!$B$7</f>
        <v>0</v>
      </c>
      <c r="L128" s="7">
        <f>J128*'05 Methodology'!$B$7</f>
        <v>0</v>
      </c>
      <c r="M128" s="7" t="str">
        <f>IF(G128=1,"FLAG / HOLD","INDEXED")</f>
        <v>INDEXED</v>
      </c>
      <c r="N128" s="1" t="str">
        <f>IF(H128=1,"FLAG / HOLD","INDEXED")</f>
        <v>INDEXED</v>
      </c>
      <c r="O128" s="1" t="s">
        <v>18</v>
      </c>
      <c r="P128" s="1" t="s">
        <v>19</v>
      </c>
      <c r="Q128" s="1"/>
      <c r="R128" s="1"/>
      <c r="S128" s="1"/>
      <c r="T128" s="1"/>
      <c r="U128" s="1"/>
    </row>
    <row r="129" spans="1:21" x14ac:dyDescent="0.2">
      <c r="A129" s="7" t="s">
        <v>149</v>
      </c>
      <c r="B129" s="7">
        <v>7</v>
      </c>
      <c r="C129" s="7">
        <v>6</v>
      </c>
      <c r="D129" s="7" t="str">
        <f>IF(B129=C129,"MATCH","MISMATCH")</f>
        <v>MISMATCH</v>
      </c>
      <c r="E129" s="7">
        <f>IF(F129="None",1,0)</f>
        <v>0</v>
      </c>
      <c r="F129" s="7" t="s">
        <v>38</v>
      </c>
      <c r="G129" s="7">
        <v>1</v>
      </c>
      <c r="H129" s="7">
        <v>1</v>
      </c>
      <c r="I129" s="7">
        <f>IF(AND(E129=0,G129=0),1,0)</f>
        <v>0</v>
      </c>
      <c r="J129" s="7">
        <f>IF(AND(E129=0,H129=0),1,0)</f>
        <v>0</v>
      </c>
      <c r="K129" s="7">
        <f>I129*'05 Methodology'!$B$7</f>
        <v>0</v>
      </c>
      <c r="L129" s="7">
        <f>J129*'05 Methodology'!$B$7</f>
        <v>0</v>
      </c>
      <c r="M129" s="7" t="str">
        <f>IF(G129=1,"FLAG / HOLD","INDEXED")</f>
        <v>FLAG / HOLD</v>
      </c>
      <c r="N129" s="1" t="str">
        <f>IF(H129=1,"FLAG / HOLD","INDEXED")</f>
        <v>FLAG / HOLD</v>
      </c>
      <c r="O129" s="1" t="s">
        <v>18</v>
      </c>
      <c r="P129" s="1" t="s">
        <v>19</v>
      </c>
      <c r="Q129" s="1"/>
      <c r="R129" s="1"/>
      <c r="S129" s="1"/>
      <c r="T129" s="1"/>
      <c r="U129" s="1"/>
    </row>
    <row r="130" spans="1:21" x14ac:dyDescent="0.2">
      <c r="A130" s="7" t="s">
        <v>150</v>
      </c>
      <c r="B130" s="7">
        <v>8</v>
      </c>
      <c r="C130" s="7">
        <v>8</v>
      </c>
      <c r="D130" s="7" t="str">
        <f>IF(B130=C130,"MATCH","MISMATCH")</f>
        <v>MATCH</v>
      </c>
      <c r="E130" s="7">
        <f>IF(F130="None",1,0)</f>
        <v>1</v>
      </c>
      <c r="F130" s="7" t="s">
        <v>17</v>
      </c>
      <c r="G130" s="7">
        <v>0</v>
      </c>
      <c r="H130" s="7">
        <v>0</v>
      </c>
      <c r="I130" s="7">
        <f>IF(AND(E130=0,G130=0),1,0)</f>
        <v>0</v>
      </c>
      <c r="J130" s="7">
        <f>IF(AND(E130=0,H130=0),1,0)</f>
        <v>0</v>
      </c>
      <c r="K130" s="7">
        <f>I130*'05 Methodology'!$B$7</f>
        <v>0</v>
      </c>
      <c r="L130" s="7">
        <f>J130*'05 Methodology'!$B$7</f>
        <v>0</v>
      </c>
      <c r="M130" s="7" t="str">
        <f>IF(G130=1,"FLAG / HOLD","INDEXED")</f>
        <v>INDEXED</v>
      </c>
      <c r="N130" s="1" t="str">
        <f>IF(H130=1,"FLAG / HOLD","INDEXED")</f>
        <v>INDEXED</v>
      </c>
      <c r="O130" s="1" t="s">
        <v>18</v>
      </c>
      <c r="P130" s="1" t="s">
        <v>19</v>
      </c>
      <c r="Q130" s="1"/>
      <c r="R130" s="1"/>
      <c r="S130" s="1"/>
      <c r="T130" s="1"/>
      <c r="U130" s="1"/>
    </row>
    <row r="131" spans="1:21" x14ac:dyDescent="0.2">
      <c r="A131" s="7" t="s">
        <v>151</v>
      </c>
      <c r="B131" s="7">
        <v>4</v>
      </c>
      <c r="C131" s="7">
        <v>4</v>
      </c>
      <c r="D131" s="7" t="str">
        <f>IF(B131=C131,"MATCH","MISMATCH")</f>
        <v>MATCH</v>
      </c>
      <c r="E131" s="7">
        <f>IF(F131="None",1,0)</f>
        <v>1</v>
      </c>
      <c r="F131" s="7" t="s">
        <v>17</v>
      </c>
      <c r="G131" s="7">
        <v>0</v>
      </c>
      <c r="H131" s="7">
        <v>0</v>
      </c>
      <c r="I131" s="7">
        <f>IF(AND(E131=0,G131=0),1,0)</f>
        <v>0</v>
      </c>
      <c r="J131" s="7">
        <f>IF(AND(E131=0,H131=0),1,0)</f>
        <v>0</v>
      </c>
      <c r="K131" s="7">
        <f>I131*'05 Methodology'!$B$7</f>
        <v>0</v>
      </c>
      <c r="L131" s="7">
        <f>J131*'05 Methodology'!$B$7</f>
        <v>0</v>
      </c>
      <c r="M131" s="7" t="str">
        <f>IF(G131=1,"FLAG / HOLD","INDEXED")</f>
        <v>INDEXED</v>
      </c>
      <c r="N131" s="1" t="str">
        <f>IF(H131=1,"FLAG / HOLD","INDEXED")</f>
        <v>INDEXED</v>
      </c>
      <c r="O131" s="1" t="s">
        <v>18</v>
      </c>
      <c r="P131" s="1" t="s">
        <v>19</v>
      </c>
      <c r="Q131" s="1"/>
      <c r="R131" s="1"/>
      <c r="S131" s="1"/>
      <c r="T131" s="1"/>
      <c r="U131" s="1"/>
    </row>
    <row r="132" spans="1:21" x14ac:dyDescent="0.2">
      <c r="A132" s="7" t="s">
        <v>152</v>
      </c>
      <c r="B132" s="7">
        <v>5</v>
      </c>
      <c r="C132" s="7">
        <v>5</v>
      </c>
      <c r="D132" s="7" t="str">
        <f>IF(B132=C132,"MATCH","MISMATCH")</f>
        <v>MATCH</v>
      </c>
      <c r="E132" s="7">
        <f>IF(F132="None",1,0)</f>
        <v>1</v>
      </c>
      <c r="F132" s="7" t="s">
        <v>17</v>
      </c>
      <c r="G132" s="7">
        <v>0</v>
      </c>
      <c r="H132" s="7">
        <v>0</v>
      </c>
      <c r="I132" s="7">
        <f>IF(AND(E132=0,G132=0),1,0)</f>
        <v>0</v>
      </c>
      <c r="J132" s="7">
        <f>IF(AND(E132=0,H132=0),1,0)</f>
        <v>0</v>
      </c>
      <c r="K132" s="7">
        <f>I132*'05 Methodology'!$B$7</f>
        <v>0</v>
      </c>
      <c r="L132" s="7">
        <f>J132*'05 Methodology'!$B$7</f>
        <v>0</v>
      </c>
      <c r="M132" s="7" t="str">
        <f>IF(G132=1,"FLAG / HOLD","INDEXED")</f>
        <v>INDEXED</v>
      </c>
      <c r="N132" s="1" t="str">
        <f>IF(H132=1,"FLAG / HOLD","INDEXED")</f>
        <v>INDEXED</v>
      </c>
      <c r="O132" s="1" t="s">
        <v>18</v>
      </c>
      <c r="P132" s="1" t="s">
        <v>19</v>
      </c>
      <c r="Q132" s="1"/>
      <c r="R132" s="1"/>
      <c r="S132" s="1"/>
      <c r="T132" s="1"/>
      <c r="U132" s="1"/>
    </row>
    <row r="133" spans="1:21" x14ac:dyDescent="0.2">
      <c r="A133" s="7" t="s">
        <v>153</v>
      </c>
      <c r="B133" s="7">
        <v>6</v>
      </c>
      <c r="C133" s="7">
        <v>5</v>
      </c>
      <c r="D133" s="7" t="str">
        <f>IF(B133=C133,"MATCH","MISMATCH")</f>
        <v>MISMATCH</v>
      </c>
      <c r="E133" s="7">
        <f>IF(F133="None",1,0)</f>
        <v>0</v>
      </c>
      <c r="F133" s="7" t="s">
        <v>38</v>
      </c>
      <c r="G133" s="7">
        <v>1</v>
      </c>
      <c r="H133" s="7">
        <v>1</v>
      </c>
      <c r="I133" s="7">
        <f>IF(AND(E133=0,G133=0),1,0)</f>
        <v>0</v>
      </c>
      <c r="J133" s="7">
        <f>IF(AND(E133=0,H133=0),1,0)</f>
        <v>0</v>
      </c>
      <c r="K133" s="7">
        <f>I133*'05 Methodology'!$B$7</f>
        <v>0</v>
      </c>
      <c r="L133" s="7">
        <f>J133*'05 Methodology'!$B$7</f>
        <v>0</v>
      </c>
      <c r="M133" s="7" t="str">
        <f>IF(G133=1,"FLAG / HOLD","INDEXED")</f>
        <v>FLAG / HOLD</v>
      </c>
      <c r="N133" s="1" t="str">
        <f>IF(H133=1,"FLAG / HOLD","INDEXED")</f>
        <v>FLAG / HOLD</v>
      </c>
      <c r="O133" s="1" t="s">
        <v>18</v>
      </c>
      <c r="P133" s="1" t="s">
        <v>19</v>
      </c>
      <c r="Q133" s="1"/>
      <c r="R133" s="1"/>
      <c r="S133" s="1"/>
      <c r="T133" s="1"/>
      <c r="U133" s="1"/>
    </row>
    <row r="134" spans="1:21" x14ac:dyDescent="0.2">
      <c r="A134" s="7" t="s">
        <v>154</v>
      </c>
      <c r="B134" s="7">
        <v>6</v>
      </c>
      <c r="C134" s="7">
        <v>6</v>
      </c>
      <c r="D134" s="7" t="str">
        <f>IF(B134=C134,"MATCH","MISMATCH")</f>
        <v>MATCH</v>
      </c>
      <c r="E134" s="7">
        <f>IF(F134="None",1,0)</f>
        <v>1</v>
      </c>
      <c r="F134" s="7" t="s">
        <v>17</v>
      </c>
      <c r="G134" s="7">
        <v>0</v>
      </c>
      <c r="H134" s="7">
        <v>0</v>
      </c>
      <c r="I134" s="7">
        <f>IF(AND(E134=0,G134=0),1,0)</f>
        <v>0</v>
      </c>
      <c r="J134" s="7">
        <f>IF(AND(E134=0,H134=0),1,0)</f>
        <v>0</v>
      </c>
      <c r="K134" s="7">
        <f>I134*'05 Methodology'!$B$7</f>
        <v>0</v>
      </c>
      <c r="L134" s="7">
        <f>J134*'05 Methodology'!$B$7</f>
        <v>0</v>
      </c>
      <c r="M134" s="7" t="str">
        <f>IF(G134=1,"FLAG / HOLD","INDEXED")</f>
        <v>INDEXED</v>
      </c>
      <c r="N134" s="1" t="str">
        <f>IF(H134=1,"FLAG / HOLD","INDEXED")</f>
        <v>INDEXED</v>
      </c>
      <c r="O134" s="1" t="s">
        <v>18</v>
      </c>
      <c r="P134" s="1" t="s">
        <v>19</v>
      </c>
      <c r="Q134" s="1"/>
      <c r="R134" s="1"/>
      <c r="S134" s="1"/>
      <c r="T134" s="1"/>
      <c r="U134" s="1"/>
    </row>
    <row r="135" spans="1:21" x14ac:dyDescent="0.2">
      <c r="A135" s="7" t="s">
        <v>155</v>
      </c>
      <c r="B135" s="7">
        <v>8</v>
      </c>
      <c r="C135" s="7">
        <v>8</v>
      </c>
      <c r="D135" s="7" t="str">
        <f>IF(B135=C135,"MATCH","MISMATCH")</f>
        <v>MATCH</v>
      </c>
      <c r="E135" s="7">
        <f>IF(F135="None",1,0)</f>
        <v>1</v>
      </c>
      <c r="F135" s="7" t="s">
        <v>17</v>
      </c>
      <c r="G135" s="7">
        <v>0</v>
      </c>
      <c r="H135" s="7">
        <v>0</v>
      </c>
      <c r="I135" s="7">
        <f>IF(AND(E135=0,G135=0),1,0)</f>
        <v>0</v>
      </c>
      <c r="J135" s="7">
        <f>IF(AND(E135=0,H135=0),1,0)</f>
        <v>0</v>
      </c>
      <c r="K135" s="7">
        <f>I135*'05 Methodology'!$B$7</f>
        <v>0</v>
      </c>
      <c r="L135" s="7">
        <f>J135*'05 Methodology'!$B$7</f>
        <v>0</v>
      </c>
      <c r="M135" s="7" t="str">
        <f>IF(G135=1,"FLAG / HOLD","INDEXED")</f>
        <v>INDEXED</v>
      </c>
      <c r="N135" s="1" t="str">
        <f>IF(H135=1,"FLAG / HOLD","INDEXED")</f>
        <v>INDEXED</v>
      </c>
      <c r="O135" s="1" t="s">
        <v>18</v>
      </c>
      <c r="P135" s="1" t="s">
        <v>19</v>
      </c>
      <c r="Q135" s="1"/>
      <c r="R135" s="1"/>
      <c r="S135" s="1"/>
      <c r="T135" s="1"/>
      <c r="U135" s="1"/>
    </row>
    <row r="136" spans="1:21" x14ac:dyDescent="0.2">
      <c r="A136" s="7" t="s">
        <v>156</v>
      </c>
      <c r="B136" s="7">
        <v>4</v>
      </c>
      <c r="C136" s="7">
        <v>4</v>
      </c>
      <c r="D136" s="7" t="str">
        <f>IF(B136=C136,"MATCH","MISMATCH")</f>
        <v>MATCH</v>
      </c>
      <c r="E136" s="7">
        <f>IF(F136="None",1,0)</f>
        <v>1</v>
      </c>
      <c r="F136" s="7" t="s">
        <v>17</v>
      </c>
      <c r="G136" s="7">
        <v>0</v>
      </c>
      <c r="H136" s="7">
        <v>0</v>
      </c>
      <c r="I136" s="7">
        <f>IF(AND(E136=0,G136=0),1,0)</f>
        <v>0</v>
      </c>
      <c r="J136" s="7">
        <f>IF(AND(E136=0,H136=0),1,0)</f>
        <v>0</v>
      </c>
      <c r="K136" s="7">
        <f>I136*'05 Methodology'!$B$7</f>
        <v>0</v>
      </c>
      <c r="L136" s="7">
        <f>J136*'05 Methodology'!$B$7</f>
        <v>0</v>
      </c>
      <c r="M136" s="7" t="str">
        <f>IF(G136=1,"FLAG / HOLD","INDEXED")</f>
        <v>INDEXED</v>
      </c>
      <c r="N136" s="1" t="str">
        <f>IF(H136=1,"FLAG / HOLD","INDEXED")</f>
        <v>INDEXED</v>
      </c>
      <c r="O136" s="1" t="s">
        <v>18</v>
      </c>
      <c r="P136" s="1" t="s">
        <v>19</v>
      </c>
      <c r="Q136" s="1"/>
      <c r="R136" s="1"/>
      <c r="S136" s="1"/>
      <c r="T136" s="1"/>
      <c r="U136" s="1"/>
    </row>
    <row r="137" spans="1:21" x14ac:dyDescent="0.2">
      <c r="A137" s="7" t="s">
        <v>157</v>
      </c>
      <c r="B137" s="7">
        <v>5</v>
      </c>
      <c r="C137" s="7">
        <v>5</v>
      </c>
      <c r="D137" s="7" t="str">
        <f>IF(B137=C137,"MATCH","MISMATCH")</f>
        <v>MATCH</v>
      </c>
      <c r="E137" s="7">
        <f>IF(F137="None",1,0)</f>
        <v>1</v>
      </c>
      <c r="F137" s="7" t="s">
        <v>17</v>
      </c>
      <c r="G137" s="7">
        <v>0</v>
      </c>
      <c r="H137" s="7">
        <v>0</v>
      </c>
      <c r="I137" s="7">
        <f>IF(AND(E137=0,G137=0),1,0)</f>
        <v>0</v>
      </c>
      <c r="J137" s="7">
        <f>IF(AND(E137=0,H137=0),1,0)</f>
        <v>0</v>
      </c>
      <c r="K137" s="7">
        <f>I137*'05 Methodology'!$B$7</f>
        <v>0</v>
      </c>
      <c r="L137" s="7">
        <f>J137*'05 Methodology'!$B$7</f>
        <v>0</v>
      </c>
      <c r="M137" s="7" t="str">
        <f>IF(G137=1,"FLAG / HOLD","INDEXED")</f>
        <v>INDEXED</v>
      </c>
      <c r="N137" s="1" t="str">
        <f>IF(H137=1,"FLAG / HOLD","INDEXED")</f>
        <v>INDEXED</v>
      </c>
      <c r="O137" s="1" t="s">
        <v>18</v>
      </c>
      <c r="P137" s="1" t="s">
        <v>19</v>
      </c>
      <c r="Q137" s="1"/>
      <c r="R137" s="1"/>
      <c r="S137" s="1"/>
      <c r="T137" s="1"/>
      <c r="U137" s="1"/>
    </row>
    <row r="138" spans="1:21" x14ac:dyDescent="0.2">
      <c r="A138" s="7" t="s">
        <v>158</v>
      </c>
      <c r="B138" s="7">
        <v>6</v>
      </c>
      <c r="C138" s="7">
        <v>6</v>
      </c>
      <c r="D138" s="7" t="str">
        <f>IF(B138=C138,"MATCH","MISMATCH")</f>
        <v>MATCH</v>
      </c>
      <c r="E138" s="7">
        <f>IF(F138="None",1,0)</f>
        <v>1</v>
      </c>
      <c r="F138" s="7" t="s">
        <v>17</v>
      </c>
      <c r="G138" s="7">
        <v>0</v>
      </c>
      <c r="H138" s="7">
        <v>0</v>
      </c>
      <c r="I138" s="7">
        <f>IF(AND(E138=0,G138=0),1,0)</f>
        <v>0</v>
      </c>
      <c r="J138" s="7">
        <f>IF(AND(E138=0,H138=0),1,0)</f>
        <v>0</v>
      </c>
      <c r="K138" s="7">
        <f>I138*'05 Methodology'!$B$7</f>
        <v>0</v>
      </c>
      <c r="L138" s="7">
        <f>J138*'05 Methodology'!$B$7</f>
        <v>0</v>
      </c>
      <c r="M138" s="7" t="str">
        <f>IF(G138=1,"FLAG / HOLD","INDEXED")</f>
        <v>INDEXED</v>
      </c>
      <c r="N138" s="1" t="str">
        <f>IF(H138=1,"FLAG / HOLD","INDEXED")</f>
        <v>INDEXED</v>
      </c>
      <c r="O138" s="1" t="s">
        <v>18</v>
      </c>
      <c r="P138" s="1" t="s">
        <v>19</v>
      </c>
      <c r="Q138" s="1"/>
      <c r="R138" s="1"/>
      <c r="S138" s="1"/>
      <c r="T138" s="1"/>
      <c r="U138" s="1"/>
    </row>
    <row r="139" spans="1:21" x14ac:dyDescent="0.2">
      <c r="A139" s="7" t="s">
        <v>159</v>
      </c>
      <c r="B139" s="7">
        <v>7</v>
      </c>
      <c r="C139" s="7">
        <v>7</v>
      </c>
      <c r="D139" s="7" t="str">
        <f>IF(B139=C139,"MATCH","MISMATCH")</f>
        <v>MATCH</v>
      </c>
      <c r="E139" s="7">
        <f>IF(F139="None",1,0)</f>
        <v>1</v>
      </c>
      <c r="F139" s="7" t="s">
        <v>17</v>
      </c>
      <c r="G139" s="7">
        <v>0</v>
      </c>
      <c r="H139" s="7">
        <v>0</v>
      </c>
      <c r="I139" s="7">
        <f>IF(AND(E139=0,G139=0),1,0)</f>
        <v>0</v>
      </c>
      <c r="J139" s="7">
        <f>IF(AND(E139=0,H139=0),1,0)</f>
        <v>0</v>
      </c>
      <c r="K139" s="7">
        <f>I139*'05 Methodology'!$B$7</f>
        <v>0</v>
      </c>
      <c r="L139" s="7">
        <f>J139*'05 Methodology'!$B$7</f>
        <v>0</v>
      </c>
      <c r="M139" s="7" t="str">
        <f>IF(G139=1,"FLAG / HOLD","INDEXED")</f>
        <v>INDEXED</v>
      </c>
      <c r="N139" s="1" t="str">
        <f>IF(H139=1,"FLAG / HOLD","INDEXED")</f>
        <v>INDEXED</v>
      </c>
      <c r="O139" s="1" t="s">
        <v>18</v>
      </c>
      <c r="P139" s="1" t="s">
        <v>19</v>
      </c>
      <c r="Q139" s="1"/>
      <c r="R139" s="1"/>
      <c r="S139" s="1"/>
      <c r="T139" s="1"/>
      <c r="U139" s="1"/>
    </row>
    <row r="140" spans="1:21" x14ac:dyDescent="0.2">
      <c r="A140" s="7" t="s">
        <v>160</v>
      </c>
      <c r="B140" s="7">
        <v>8</v>
      </c>
      <c r="C140" s="7">
        <v>8</v>
      </c>
      <c r="D140" s="7" t="str">
        <f>IF(B140=C140,"MATCH","MISMATCH")</f>
        <v>MATCH</v>
      </c>
      <c r="E140" s="7">
        <f>IF(F140="None",1,0)</f>
        <v>1</v>
      </c>
      <c r="F140" s="7" t="s">
        <v>17</v>
      </c>
      <c r="G140" s="7">
        <v>0</v>
      </c>
      <c r="H140" s="7">
        <v>0</v>
      </c>
      <c r="I140" s="7">
        <f>IF(AND(E140=0,G140=0),1,0)</f>
        <v>0</v>
      </c>
      <c r="J140" s="7">
        <f>IF(AND(E140=0,H140=0),1,0)</f>
        <v>0</v>
      </c>
      <c r="K140" s="7">
        <f>I140*'05 Methodology'!$B$7</f>
        <v>0</v>
      </c>
      <c r="L140" s="7">
        <f>J140*'05 Methodology'!$B$7</f>
        <v>0</v>
      </c>
      <c r="M140" s="7" t="str">
        <f>IF(G140=1,"FLAG / HOLD","INDEXED")</f>
        <v>INDEXED</v>
      </c>
      <c r="N140" s="1" t="str">
        <f>IF(H140=1,"FLAG / HOLD","INDEXED")</f>
        <v>INDEXED</v>
      </c>
      <c r="O140" s="1" t="s">
        <v>18</v>
      </c>
      <c r="P140" s="1" t="s">
        <v>19</v>
      </c>
      <c r="Q140" s="1"/>
      <c r="R140" s="1"/>
      <c r="S140" s="1"/>
      <c r="T140" s="1"/>
      <c r="U140" s="1"/>
    </row>
    <row r="141" spans="1:21" x14ac:dyDescent="0.2">
      <c r="A141" s="7" t="s">
        <v>161</v>
      </c>
      <c r="B141" s="7">
        <v>6</v>
      </c>
      <c r="C141" s="7">
        <v>6</v>
      </c>
      <c r="D141" s="7" t="str">
        <f>IF(B141=C141,"MATCH","MISMATCH")</f>
        <v>MATCH</v>
      </c>
      <c r="E141" s="7">
        <f>IF(F141="None",1,0)</f>
        <v>1</v>
      </c>
      <c r="F141" s="7" t="s">
        <v>17</v>
      </c>
      <c r="G141" s="7">
        <v>0</v>
      </c>
      <c r="H141" s="7">
        <v>0</v>
      </c>
      <c r="I141" s="7">
        <f>IF(AND(E141=0,G141=0),1,0)</f>
        <v>0</v>
      </c>
      <c r="J141" s="7">
        <f>IF(AND(E141=0,H141=0),1,0)</f>
        <v>0</v>
      </c>
      <c r="K141" s="7">
        <f>I141*'05 Methodology'!$B$7</f>
        <v>0</v>
      </c>
      <c r="L141" s="7">
        <f>J141*'05 Methodology'!$B$7</f>
        <v>0</v>
      </c>
      <c r="M141" s="7" t="str">
        <f>IF(G141=1,"FLAG / HOLD","INDEXED")</f>
        <v>INDEXED</v>
      </c>
      <c r="N141" s="1" t="str">
        <f>IF(H141=1,"FLAG / HOLD","INDEXED")</f>
        <v>INDEXED</v>
      </c>
      <c r="O141" s="1" t="s">
        <v>18</v>
      </c>
      <c r="P141" s="1" t="s">
        <v>19</v>
      </c>
      <c r="Q141" s="1"/>
      <c r="R141" s="1"/>
      <c r="S141" s="1"/>
      <c r="T141" s="1"/>
      <c r="U141" s="1"/>
    </row>
    <row r="142" spans="1:21" x14ac:dyDescent="0.2">
      <c r="A142" s="7" t="s">
        <v>162</v>
      </c>
      <c r="B142" s="7">
        <v>5</v>
      </c>
      <c r="C142" s="7">
        <v>5</v>
      </c>
      <c r="D142" s="7" t="str">
        <f>IF(B142=C142,"MATCH","MISMATCH")</f>
        <v>MATCH</v>
      </c>
      <c r="E142" s="7">
        <f>IF(F142="None",1,0)</f>
        <v>1</v>
      </c>
      <c r="F142" s="7" t="s">
        <v>17</v>
      </c>
      <c r="G142" s="7">
        <v>0</v>
      </c>
      <c r="H142" s="7">
        <v>0</v>
      </c>
      <c r="I142" s="7">
        <f>IF(AND(E142=0,G142=0),1,0)</f>
        <v>0</v>
      </c>
      <c r="J142" s="7">
        <f>IF(AND(E142=0,H142=0),1,0)</f>
        <v>0</v>
      </c>
      <c r="K142" s="7">
        <f>I142*'05 Methodology'!$B$7</f>
        <v>0</v>
      </c>
      <c r="L142" s="7">
        <f>J142*'05 Methodology'!$B$7</f>
        <v>0</v>
      </c>
      <c r="M142" s="7" t="str">
        <f>IF(G142=1,"FLAG / HOLD","INDEXED")</f>
        <v>INDEXED</v>
      </c>
      <c r="N142" s="1" t="str">
        <f>IF(H142=1,"FLAG / HOLD","INDEXED")</f>
        <v>INDEXED</v>
      </c>
      <c r="O142" s="1" t="s">
        <v>18</v>
      </c>
      <c r="P142" s="1" t="s">
        <v>19</v>
      </c>
      <c r="Q142" s="1"/>
      <c r="R142" s="1"/>
      <c r="S142" s="1"/>
      <c r="T142" s="1"/>
      <c r="U142" s="1"/>
    </row>
    <row r="143" spans="1:21" x14ac:dyDescent="0.2">
      <c r="A143" s="7" t="s">
        <v>163</v>
      </c>
      <c r="B143" s="7">
        <v>6</v>
      </c>
      <c r="C143" s="7">
        <v>5</v>
      </c>
      <c r="D143" s="7" t="str">
        <f>IF(B143=C143,"MATCH","MISMATCH")</f>
        <v>MISMATCH</v>
      </c>
      <c r="E143" s="7">
        <f>IF(F143="None",1,0)</f>
        <v>0</v>
      </c>
      <c r="F143" s="7" t="s">
        <v>38</v>
      </c>
      <c r="G143" s="7">
        <v>0</v>
      </c>
      <c r="H143" s="7">
        <v>1</v>
      </c>
      <c r="I143" s="7">
        <f>IF(AND(E143=0,G143=0),1,0)</f>
        <v>1</v>
      </c>
      <c r="J143" s="7">
        <f>IF(AND(E143=0,H143=0),1,0)</f>
        <v>0</v>
      </c>
      <c r="K143" s="7">
        <f>I143*'05 Methodology'!$B$7</f>
        <v>20</v>
      </c>
      <c r="L143" s="7">
        <f>J143*'05 Methodology'!$B$7</f>
        <v>0</v>
      </c>
      <c r="M143" s="7" t="str">
        <f>IF(G143=1,"FLAG / HOLD","INDEXED")</f>
        <v>INDEXED</v>
      </c>
      <c r="N143" s="1" t="str">
        <f>IF(H143=1,"FLAG / HOLD","INDEXED")</f>
        <v>FLAG / HOLD</v>
      </c>
      <c r="O143" s="1" t="s">
        <v>18</v>
      </c>
      <c r="P143" s="1" t="s">
        <v>19</v>
      </c>
      <c r="Q143" s="1"/>
      <c r="R143" s="1"/>
      <c r="S143" s="1"/>
      <c r="T143" s="1"/>
      <c r="U143" s="1"/>
    </row>
    <row r="144" spans="1:21" x14ac:dyDescent="0.2">
      <c r="A144" s="7" t="s">
        <v>164</v>
      </c>
      <c r="B144" s="7">
        <v>7</v>
      </c>
      <c r="C144" s="7">
        <v>7</v>
      </c>
      <c r="D144" s="7" t="str">
        <f>IF(B144=C144,"MATCH","MISMATCH")</f>
        <v>MATCH</v>
      </c>
      <c r="E144" s="7">
        <f>IF(F144="None",1,0)</f>
        <v>1</v>
      </c>
      <c r="F144" s="7" t="s">
        <v>17</v>
      </c>
      <c r="G144" s="7">
        <v>0</v>
      </c>
      <c r="H144" s="7">
        <v>0</v>
      </c>
      <c r="I144" s="7">
        <f>IF(AND(E144=0,G144=0),1,0)</f>
        <v>0</v>
      </c>
      <c r="J144" s="7">
        <f>IF(AND(E144=0,H144=0),1,0)</f>
        <v>0</v>
      </c>
      <c r="K144" s="7">
        <f>I144*'05 Methodology'!$B$7</f>
        <v>0</v>
      </c>
      <c r="L144" s="7">
        <f>J144*'05 Methodology'!$B$7</f>
        <v>0</v>
      </c>
      <c r="M144" s="7" t="str">
        <f>IF(G144=1,"FLAG / HOLD","INDEXED")</f>
        <v>INDEXED</v>
      </c>
      <c r="N144" s="1" t="str">
        <f>IF(H144=1,"FLAG / HOLD","INDEXED")</f>
        <v>INDEXED</v>
      </c>
      <c r="O144" s="1" t="s">
        <v>18</v>
      </c>
      <c r="P144" s="1" t="s">
        <v>19</v>
      </c>
      <c r="Q144" s="1"/>
      <c r="R144" s="1"/>
      <c r="S144" s="1"/>
      <c r="T144" s="1"/>
      <c r="U144" s="1"/>
    </row>
    <row r="145" spans="1:21" x14ac:dyDescent="0.2">
      <c r="A145" s="7" t="s">
        <v>165</v>
      </c>
      <c r="B145" s="7">
        <v>8</v>
      </c>
      <c r="C145" s="7">
        <v>8</v>
      </c>
      <c r="D145" s="7" t="str">
        <f>IF(B145=C145,"MATCH","MISMATCH")</f>
        <v>MATCH</v>
      </c>
      <c r="E145" s="7">
        <f>IF(F145="None",1,0)</f>
        <v>1</v>
      </c>
      <c r="F145" s="7" t="s">
        <v>17</v>
      </c>
      <c r="G145" s="7">
        <v>0</v>
      </c>
      <c r="H145" s="7">
        <v>0</v>
      </c>
      <c r="I145" s="7">
        <f>IF(AND(E145=0,G145=0),1,0)</f>
        <v>0</v>
      </c>
      <c r="J145" s="7">
        <f>IF(AND(E145=0,H145=0),1,0)</f>
        <v>0</v>
      </c>
      <c r="K145" s="7">
        <f>I145*'05 Methodology'!$B$7</f>
        <v>0</v>
      </c>
      <c r="L145" s="7">
        <f>J145*'05 Methodology'!$B$7</f>
        <v>0</v>
      </c>
      <c r="M145" s="7" t="str">
        <f>IF(G145=1,"FLAG / HOLD","INDEXED")</f>
        <v>INDEXED</v>
      </c>
      <c r="N145" s="1" t="str">
        <f>IF(H145=1,"FLAG / HOLD","INDEXED")</f>
        <v>INDEXED</v>
      </c>
      <c r="O145" s="1" t="s">
        <v>18</v>
      </c>
      <c r="P145" s="1" t="s">
        <v>19</v>
      </c>
      <c r="Q145" s="1"/>
      <c r="R145" s="1"/>
      <c r="S145" s="1"/>
      <c r="T145" s="1"/>
      <c r="U145" s="1"/>
    </row>
    <row r="146" spans="1:21" x14ac:dyDescent="0.2">
      <c r="A146" s="7" t="s">
        <v>166</v>
      </c>
      <c r="B146" s="7">
        <v>4</v>
      </c>
      <c r="C146" s="7">
        <v>4</v>
      </c>
      <c r="D146" s="7" t="str">
        <f>IF(B146=C146,"MATCH","MISMATCH")</f>
        <v>MATCH</v>
      </c>
      <c r="E146" s="7">
        <f>IF(F146="None",1,0)</f>
        <v>1</v>
      </c>
      <c r="F146" s="7" t="s">
        <v>17</v>
      </c>
      <c r="G146" s="7">
        <v>0</v>
      </c>
      <c r="H146" s="7">
        <v>0</v>
      </c>
      <c r="I146" s="7">
        <f>IF(AND(E146=0,G146=0),1,0)</f>
        <v>0</v>
      </c>
      <c r="J146" s="7">
        <f>IF(AND(E146=0,H146=0),1,0)</f>
        <v>0</v>
      </c>
      <c r="K146" s="7">
        <f>I146*'05 Methodology'!$B$7</f>
        <v>0</v>
      </c>
      <c r="L146" s="7">
        <f>J146*'05 Methodology'!$B$7</f>
        <v>0</v>
      </c>
      <c r="M146" s="7" t="str">
        <f>IF(G146=1,"FLAG / HOLD","INDEXED")</f>
        <v>INDEXED</v>
      </c>
      <c r="N146" s="1" t="str">
        <f>IF(H146=1,"FLAG / HOLD","INDEXED")</f>
        <v>INDEXED</v>
      </c>
      <c r="O146" s="1" t="s">
        <v>18</v>
      </c>
      <c r="P146" s="1" t="s">
        <v>19</v>
      </c>
      <c r="Q146" s="1"/>
      <c r="R146" s="1"/>
      <c r="S146" s="1"/>
      <c r="T146" s="1"/>
      <c r="U146" s="1"/>
    </row>
    <row r="147" spans="1:21" x14ac:dyDescent="0.2">
      <c r="A147" s="7" t="s">
        <v>167</v>
      </c>
      <c r="B147" s="7">
        <v>5</v>
      </c>
      <c r="C147" s="7">
        <v>4</v>
      </c>
      <c r="D147" s="7" t="str">
        <f>IF(B147=C147,"MATCH","MISMATCH")</f>
        <v>MISMATCH</v>
      </c>
      <c r="E147" s="7">
        <f>IF(F147="None",1,0)</f>
        <v>0</v>
      </c>
      <c r="F147" s="7" t="s">
        <v>38</v>
      </c>
      <c r="G147" s="7">
        <v>0</v>
      </c>
      <c r="H147" s="7">
        <v>1</v>
      </c>
      <c r="I147" s="7">
        <f>IF(AND(E147=0,G147=0),1,0)</f>
        <v>1</v>
      </c>
      <c r="J147" s="7">
        <f>IF(AND(E147=0,H147=0),1,0)</f>
        <v>0</v>
      </c>
      <c r="K147" s="7">
        <f>I147*'05 Methodology'!$B$7</f>
        <v>20</v>
      </c>
      <c r="L147" s="7">
        <f>J147*'05 Methodology'!$B$7</f>
        <v>0</v>
      </c>
      <c r="M147" s="7" t="str">
        <f>IF(G147=1,"FLAG / HOLD","INDEXED")</f>
        <v>INDEXED</v>
      </c>
      <c r="N147" s="1" t="str">
        <f>IF(H147=1,"FLAG / HOLD","INDEXED")</f>
        <v>FLAG / HOLD</v>
      </c>
      <c r="O147" s="1" t="s">
        <v>18</v>
      </c>
      <c r="P147" s="1" t="s">
        <v>19</v>
      </c>
      <c r="Q147" s="1"/>
      <c r="R147" s="1"/>
      <c r="S147" s="1"/>
      <c r="T147" s="1"/>
      <c r="U147" s="1"/>
    </row>
    <row r="148" spans="1:21" x14ac:dyDescent="0.2">
      <c r="A148" s="7" t="s">
        <v>168</v>
      </c>
      <c r="B148" s="7">
        <v>6</v>
      </c>
      <c r="C148" s="7">
        <v>6</v>
      </c>
      <c r="D148" s="7" t="str">
        <f>IF(B148=C148,"MATCH","MISMATCH")</f>
        <v>MATCH</v>
      </c>
      <c r="E148" s="7">
        <f>IF(F148="None",1,0)</f>
        <v>1</v>
      </c>
      <c r="F148" s="7" t="s">
        <v>17</v>
      </c>
      <c r="G148" s="7">
        <v>0</v>
      </c>
      <c r="H148" s="7">
        <v>0</v>
      </c>
      <c r="I148" s="7">
        <f>IF(AND(E148=0,G148=0),1,0)</f>
        <v>0</v>
      </c>
      <c r="J148" s="7">
        <f>IF(AND(E148=0,H148=0),1,0)</f>
        <v>0</v>
      </c>
      <c r="K148" s="7">
        <f>I148*'05 Methodology'!$B$7</f>
        <v>0</v>
      </c>
      <c r="L148" s="7">
        <f>J148*'05 Methodology'!$B$7</f>
        <v>0</v>
      </c>
      <c r="M148" s="7" t="str">
        <f>IF(G148=1,"FLAG / HOLD","INDEXED")</f>
        <v>INDEXED</v>
      </c>
      <c r="N148" s="1" t="str">
        <f>IF(H148=1,"FLAG / HOLD","INDEXED")</f>
        <v>INDEXED</v>
      </c>
      <c r="O148" s="1" t="s">
        <v>18</v>
      </c>
      <c r="P148" s="1" t="s">
        <v>19</v>
      </c>
      <c r="Q148" s="1"/>
      <c r="R148" s="1"/>
      <c r="S148" s="1"/>
      <c r="T148" s="1"/>
      <c r="U148" s="1"/>
    </row>
    <row r="149" spans="1:21" x14ac:dyDescent="0.2">
      <c r="A149" s="7" t="s">
        <v>169</v>
      </c>
      <c r="B149" s="7">
        <v>7</v>
      </c>
      <c r="C149" s="7">
        <v>7</v>
      </c>
      <c r="D149" s="7" t="str">
        <f>IF(B149=C149,"MATCH","MISMATCH")</f>
        <v>MATCH</v>
      </c>
      <c r="E149" s="7">
        <f>IF(F149="None",1,0)</f>
        <v>1</v>
      </c>
      <c r="F149" s="7" t="s">
        <v>17</v>
      </c>
      <c r="G149" s="7">
        <v>0</v>
      </c>
      <c r="H149" s="7">
        <v>0</v>
      </c>
      <c r="I149" s="7">
        <f>IF(AND(E149=0,G149=0),1,0)</f>
        <v>0</v>
      </c>
      <c r="J149" s="7">
        <f>IF(AND(E149=0,H149=0),1,0)</f>
        <v>0</v>
      </c>
      <c r="K149" s="7">
        <f>I149*'05 Methodology'!$B$7</f>
        <v>0</v>
      </c>
      <c r="L149" s="7">
        <f>J149*'05 Methodology'!$B$7</f>
        <v>0</v>
      </c>
      <c r="M149" s="7" t="str">
        <f>IF(G149=1,"FLAG / HOLD","INDEXED")</f>
        <v>INDEXED</v>
      </c>
      <c r="N149" s="1" t="str">
        <f>IF(H149=1,"FLAG / HOLD","INDEXED")</f>
        <v>INDEXED</v>
      </c>
      <c r="O149" s="1" t="s">
        <v>18</v>
      </c>
      <c r="P149" s="1" t="s">
        <v>19</v>
      </c>
      <c r="Q149" s="1"/>
      <c r="R149" s="1"/>
      <c r="S149" s="1"/>
      <c r="T149" s="1"/>
      <c r="U149" s="1"/>
    </row>
    <row r="150" spans="1:21" x14ac:dyDescent="0.2">
      <c r="A150" s="7" t="s">
        <v>170</v>
      </c>
      <c r="B150" s="7">
        <v>8</v>
      </c>
      <c r="C150" s="7">
        <v>8</v>
      </c>
      <c r="D150" s="7" t="str">
        <f>IF(B150=C150,"MATCH","MISMATCH")</f>
        <v>MATCH</v>
      </c>
      <c r="E150" s="7">
        <f>IF(F150="None",1,0)</f>
        <v>1</v>
      </c>
      <c r="F150" s="7" t="s">
        <v>17</v>
      </c>
      <c r="G150" s="7">
        <v>0</v>
      </c>
      <c r="H150" s="7">
        <v>0</v>
      </c>
      <c r="I150" s="7">
        <f>IF(AND(E150=0,G150=0),1,0)</f>
        <v>0</v>
      </c>
      <c r="J150" s="7">
        <f>IF(AND(E150=0,H150=0),1,0)</f>
        <v>0</v>
      </c>
      <c r="K150" s="7">
        <f>I150*'05 Methodology'!$B$7</f>
        <v>0</v>
      </c>
      <c r="L150" s="7">
        <f>J150*'05 Methodology'!$B$7</f>
        <v>0</v>
      </c>
      <c r="M150" s="7" t="str">
        <f>IF(G150=1,"FLAG / HOLD","INDEXED")</f>
        <v>INDEXED</v>
      </c>
      <c r="N150" s="1" t="str">
        <f>IF(H150=1,"FLAG / HOLD","INDEXED")</f>
        <v>INDEXED</v>
      </c>
      <c r="O150" s="1" t="s">
        <v>18</v>
      </c>
      <c r="P150" s="1" t="s">
        <v>19</v>
      </c>
      <c r="Q150" s="1"/>
      <c r="R150" s="1"/>
      <c r="S150" s="1"/>
      <c r="T150" s="1"/>
      <c r="U150" s="1"/>
    </row>
    <row r="151" spans="1:21" x14ac:dyDescent="0.2">
      <c r="A151" s="7" t="s">
        <v>171</v>
      </c>
      <c r="B151" s="7">
        <v>4</v>
      </c>
      <c r="C151" s="7">
        <v>4</v>
      </c>
      <c r="D151" s="7" t="str">
        <f>IF(B151=C151,"MATCH","MISMATCH")</f>
        <v>MATCH</v>
      </c>
      <c r="E151" s="7">
        <f>IF(F151="None",1,0)</f>
        <v>1</v>
      </c>
      <c r="F151" s="7" t="s">
        <v>17</v>
      </c>
      <c r="G151" s="7">
        <v>0</v>
      </c>
      <c r="H151" s="7">
        <v>0</v>
      </c>
      <c r="I151" s="7">
        <f>IF(AND(E151=0,G151=0),1,0)</f>
        <v>0</v>
      </c>
      <c r="J151" s="7">
        <f>IF(AND(E151=0,H151=0),1,0)</f>
        <v>0</v>
      </c>
      <c r="K151" s="7">
        <f>I151*'05 Methodology'!$B$7</f>
        <v>0</v>
      </c>
      <c r="L151" s="7">
        <f>J151*'05 Methodology'!$B$7</f>
        <v>0</v>
      </c>
      <c r="M151" s="7" t="str">
        <f>IF(G151=1,"FLAG / HOLD","INDEXED")</f>
        <v>INDEXED</v>
      </c>
      <c r="N151" s="1" t="str">
        <f>IF(H151=1,"FLAG / HOLD","INDEXED")</f>
        <v>INDEXED</v>
      </c>
      <c r="O151" s="1" t="s">
        <v>18</v>
      </c>
      <c r="P151" s="1" t="s">
        <v>19</v>
      </c>
      <c r="Q151" s="1"/>
      <c r="R151" s="1"/>
      <c r="S151" s="1"/>
      <c r="T151" s="1"/>
      <c r="U151" s="1"/>
    </row>
    <row r="152" spans="1:21" x14ac:dyDescent="0.2">
      <c r="A152" s="7" t="s">
        <v>172</v>
      </c>
      <c r="B152" s="7">
        <v>5</v>
      </c>
      <c r="C152" s="7">
        <v>5</v>
      </c>
      <c r="D152" s="7" t="str">
        <f>IF(B152=C152,"MATCH","MISMATCH")</f>
        <v>MATCH</v>
      </c>
      <c r="E152" s="7">
        <f>IF(F152="None",1,0)</f>
        <v>1</v>
      </c>
      <c r="F152" s="7" t="s">
        <v>17</v>
      </c>
      <c r="G152" s="7">
        <v>0</v>
      </c>
      <c r="H152" s="7">
        <v>0</v>
      </c>
      <c r="I152" s="7">
        <f>IF(AND(E152=0,G152=0),1,0)</f>
        <v>0</v>
      </c>
      <c r="J152" s="7">
        <f>IF(AND(E152=0,H152=0),1,0)</f>
        <v>0</v>
      </c>
      <c r="K152" s="7">
        <f>I152*'05 Methodology'!$B$7</f>
        <v>0</v>
      </c>
      <c r="L152" s="7">
        <f>J152*'05 Methodology'!$B$7</f>
        <v>0</v>
      </c>
      <c r="M152" s="7" t="str">
        <f>IF(G152=1,"FLAG / HOLD","INDEXED")</f>
        <v>INDEXED</v>
      </c>
      <c r="N152" s="1" t="str">
        <f>IF(H152=1,"FLAG / HOLD","INDEXED")</f>
        <v>INDEXED</v>
      </c>
      <c r="O152" s="1" t="s">
        <v>18</v>
      </c>
      <c r="P152" s="1" t="s">
        <v>19</v>
      </c>
      <c r="Q152" s="1"/>
      <c r="R152" s="1"/>
      <c r="S152" s="1"/>
      <c r="T152" s="1"/>
      <c r="U152" s="1"/>
    </row>
    <row r="153" spans="1:21" x14ac:dyDescent="0.2">
      <c r="A153" s="7" t="s">
        <v>173</v>
      </c>
      <c r="B153" s="7">
        <v>6</v>
      </c>
      <c r="C153" s="7">
        <v>6</v>
      </c>
      <c r="D153" s="7" t="str">
        <f>IF(B153=C153,"MATCH","MISMATCH")</f>
        <v>MATCH</v>
      </c>
      <c r="E153" s="7">
        <f>IF(F153="None",1,0)</f>
        <v>1</v>
      </c>
      <c r="F153" s="7" t="s">
        <v>17</v>
      </c>
      <c r="G153" s="7">
        <v>0</v>
      </c>
      <c r="H153" s="7">
        <v>0</v>
      </c>
      <c r="I153" s="7">
        <f>IF(AND(E153=0,G153=0),1,0)</f>
        <v>0</v>
      </c>
      <c r="J153" s="7">
        <f>IF(AND(E153=0,H153=0),1,0)</f>
        <v>0</v>
      </c>
      <c r="K153" s="7">
        <f>I153*'05 Methodology'!$B$7</f>
        <v>0</v>
      </c>
      <c r="L153" s="7">
        <f>J153*'05 Methodology'!$B$7</f>
        <v>0</v>
      </c>
      <c r="M153" s="7" t="str">
        <f>IF(G153=1,"FLAG / HOLD","INDEXED")</f>
        <v>INDEXED</v>
      </c>
      <c r="N153" s="1" t="str">
        <f>IF(H153=1,"FLAG / HOLD","INDEXED")</f>
        <v>INDEXED</v>
      </c>
      <c r="O153" s="1" t="s">
        <v>18</v>
      </c>
      <c r="P153" s="1" t="s">
        <v>19</v>
      </c>
      <c r="Q153" s="1"/>
      <c r="R153" s="1"/>
      <c r="S153" s="1"/>
      <c r="T153" s="1"/>
      <c r="U153" s="1"/>
    </row>
    <row r="154" spans="1:21" x14ac:dyDescent="0.2">
      <c r="A154" s="7" t="s">
        <v>174</v>
      </c>
      <c r="B154" s="7">
        <v>7</v>
      </c>
      <c r="C154" s="7">
        <v>7</v>
      </c>
      <c r="D154" s="7" t="str">
        <f>IF(B154=C154,"MATCH","MISMATCH")</f>
        <v>MATCH</v>
      </c>
      <c r="E154" s="7">
        <f>IF(F154="None",1,0)</f>
        <v>1</v>
      </c>
      <c r="F154" s="7" t="s">
        <v>17</v>
      </c>
      <c r="G154" s="7">
        <v>0</v>
      </c>
      <c r="H154" s="7">
        <v>0</v>
      </c>
      <c r="I154" s="7">
        <f>IF(AND(E154=0,G154=0),1,0)</f>
        <v>0</v>
      </c>
      <c r="J154" s="7">
        <f>IF(AND(E154=0,H154=0),1,0)</f>
        <v>0</v>
      </c>
      <c r="K154" s="7">
        <f>I154*'05 Methodology'!$B$7</f>
        <v>0</v>
      </c>
      <c r="L154" s="7">
        <f>J154*'05 Methodology'!$B$7</f>
        <v>0</v>
      </c>
      <c r="M154" s="7" t="str">
        <f>IF(G154=1,"FLAG / HOLD","INDEXED")</f>
        <v>INDEXED</v>
      </c>
      <c r="N154" s="1" t="str">
        <f>IF(H154=1,"FLAG / HOLD","INDEXED")</f>
        <v>INDEXED</v>
      </c>
      <c r="O154" s="1" t="s">
        <v>18</v>
      </c>
      <c r="P154" s="1" t="s">
        <v>19</v>
      </c>
      <c r="Q154" s="1"/>
      <c r="R154" s="1"/>
      <c r="S154" s="1"/>
      <c r="T154" s="1"/>
      <c r="U154" s="1"/>
    </row>
    <row r="155" spans="1:21" x14ac:dyDescent="0.2">
      <c r="A155" s="7" t="s">
        <v>175</v>
      </c>
      <c r="B155" s="7">
        <v>6</v>
      </c>
      <c r="C155" s="7">
        <v>6</v>
      </c>
      <c r="D155" s="7" t="str">
        <f>IF(B155=C155,"MATCH","MISMATCH")</f>
        <v>MATCH</v>
      </c>
      <c r="E155" s="7">
        <f>IF(F155="None",1,0)</f>
        <v>1</v>
      </c>
      <c r="F155" s="7" t="s">
        <v>17</v>
      </c>
      <c r="G155" s="7">
        <v>0</v>
      </c>
      <c r="H155" s="7">
        <v>0</v>
      </c>
      <c r="I155" s="7">
        <f>IF(AND(E155=0,G155=0),1,0)</f>
        <v>0</v>
      </c>
      <c r="J155" s="7">
        <f>IF(AND(E155=0,H155=0),1,0)</f>
        <v>0</v>
      </c>
      <c r="K155" s="7">
        <f>I155*'05 Methodology'!$B$7</f>
        <v>0</v>
      </c>
      <c r="L155" s="7">
        <f>J155*'05 Methodology'!$B$7</f>
        <v>0</v>
      </c>
      <c r="M155" s="7" t="str">
        <f>IF(G155=1,"FLAG / HOLD","INDEXED")</f>
        <v>INDEXED</v>
      </c>
      <c r="N155" s="1" t="str">
        <f>IF(H155=1,"FLAG / HOLD","INDEXED")</f>
        <v>INDEXED</v>
      </c>
      <c r="O155" s="1" t="s">
        <v>18</v>
      </c>
      <c r="P155" s="1" t="s">
        <v>19</v>
      </c>
      <c r="Q155" s="1"/>
      <c r="R155" s="1"/>
      <c r="S155" s="1"/>
      <c r="T155" s="1"/>
      <c r="U155" s="1"/>
    </row>
    <row r="156" spans="1:21" x14ac:dyDescent="0.2">
      <c r="A156" s="7" t="s">
        <v>176</v>
      </c>
      <c r="B156" s="7">
        <v>4</v>
      </c>
      <c r="C156" s="7">
        <v>4</v>
      </c>
      <c r="D156" s="7" t="str">
        <f>IF(B156=C156,"MATCH","MISMATCH")</f>
        <v>MATCH</v>
      </c>
      <c r="E156" s="7">
        <f>IF(F156="None",1,0)</f>
        <v>1</v>
      </c>
      <c r="F156" s="7" t="s">
        <v>17</v>
      </c>
      <c r="G156" s="7">
        <v>0</v>
      </c>
      <c r="H156" s="7">
        <v>0</v>
      </c>
      <c r="I156" s="7">
        <f>IF(AND(E156=0,G156=0),1,0)</f>
        <v>0</v>
      </c>
      <c r="J156" s="7">
        <f>IF(AND(E156=0,H156=0),1,0)</f>
        <v>0</v>
      </c>
      <c r="K156" s="7">
        <f>I156*'05 Methodology'!$B$7</f>
        <v>0</v>
      </c>
      <c r="L156" s="7">
        <f>J156*'05 Methodology'!$B$7</f>
        <v>0</v>
      </c>
      <c r="M156" s="7" t="str">
        <f>IF(G156=1,"FLAG / HOLD","INDEXED")</f>
        <v>INDEXED</v>
      </c>
      <c r="N156" s="1" t="str">
        <f>IF(H156=1,"FLAG / HOLD","INDEXED")</f>
        <v>INDEXED</v>
      </c>
      <c r="O156" s="1" t="s">
        <v>18</v>
      </c>
      <c r="P156" s="1" t="s">
        <v>19</v>
      </c>
      <c r="Q156" s="1"/>
      <c r="R156" s="1"/>
      <c r="S156" s="1"/>
      <c r="T156" s="1"/>
      <c r="U156" s="1"/>
    </row>
    <row r="157" spans="1:21" x14ac:dyDescent="0.2">
      <c r="A157" s="7" t="s">
        <v>177</v>
      </c>
      <c r="B157" s="7">
        <v>5</v>
      </c>
      <c r="C157" s="7">
        <v>5</v>
      </c>
      <c r="D157" s="7" t="str">
        <f>IF(B157=C157,"MATCH","MISMATCH")</f>
        <v>MATCH</v>
      </c>
      <c r="E157" s="7">
        <f>IF(F157="None",1,0)</f>
        <v>1</v>
      </c>
      <c r="F157" s="7" t="s">
        <v>17</v>
      </c>
      <c r="G157" s="7">
        <v>0</v>
      </c>
      <c r="H157" s="7">
        <v>0</v>
      </c>
      <c r="I157" s="7">
        <f>IF(AND(E157=0,G157=0),1,0)</f>
        <v>0</v>
      </c>
      <c r="J157" s="7">
        <f>IF(AND(E157=0,H157=0),1,0)</f>
        <v>0</v>
      </c>
      <c r="K157" s="7">
        <f>I157*'05 Methodology'!$B$7</f>
        <v>0</v>
      </c>
      <c r="L157" s="7">
        <f>J157*'05 Methodology'!$B$7</f>
        <v>0</v>
      </c>
      <c r="M157" s="7" t="str">
        <f>IF(G157=1,"FLAG / HOLD","INDEXED")</f>
        <v>INDEXED</v>
      </c>
      <c r="N157" s="1" t="str">
        <f>IF(H157=1,"FLAG / HOLD","INDEXED")</f>
        <v>INDEXED</v>
      </c>
      <c r="O157" s="1" t="s">
        <v>18</v>
      </c>
      <c r="P157" s="1" t="s">
        <v>19</v>
      </c>
      <c r="Q157" s="1"/>
      <c r="R157" s="1"/>
      <c r="S157" s="1"/>
      <c r="T157" s="1"/>
      <c r="U157" s="1"/>
    </row>
    <row r="158" spans="1:21" x14ac:dyDescent="0.2">
      <c r="A158" s="7" t="s">
        <v>178</v>
      </c>
      <c r="B158" s="7">
        <v>6</v>
      </c>
      <c r="C158" s="7">
        <v>6</v>
      </c>
      <c r="D158" s="7" t="str">
        <f>IF(B158=C158,"MATCH","MISMATCH")</f>
        <v>MATCH</v>
      </c>
      <c r="E158" s="7">
        <f>IF(F158="None",1,0)</f>
        <v>1</v>
      </c>
      <c r="F158" s="7" t="s">
        <v>17</v>
      </c>
      <c r="G158" s="7">
        <v>0</v>
      </c>
      <c r="H158" s="7">
        <v>0</v>
      </c>
      <c r="I158" s="7">
        <f>IF(AND(E158=0,G158=0),1,0)</f>
        <v>0</v>
      </c>
      <c r="J158" s="7">
        <f>IF(AND(E158=0,H158=0),1,0)</f>
        <v>0</v>
      </c>
      <c r="K158" s="7">
        <f>I158*'05 Methodology'!$B$7</f>
        <v>0</v>
      </c>
      <c r="L158" s="7">
        <f>J158*'05 Methodology'!$B$7</f>
        <v>0</v>
      </c>
      <c r="M158" s="7" t="str">
        <f>IF(G158=1,"FLAG / HOLD","INDEXED")</f>
        <v>INDEXED</v>
      </c>
      <c r="N158" s="1" t="str">
        <f>IF(H158=1,"FLAG / HOLD","INDEXED")</f>
        <v>INDEXED</v>
      </c>
      <c r="O158" s="1" t="s">
        <v>18</v>
      </c>
      <c r="P158" s="1" t="s">
        <v>19</v>
      </c>
      <c r="Q158" s="1"/>
      <c r="R158" s="1"/>
      <c r="S158" s="1"/>
      <c r="T158" s="1"/>
      <c r="U158" s="1"/>
    </row>
    <row r="159" spans="1:21" x14ac:dyDescent="0.2">
      <c r="A159" s="7" t="s">
        <v>179</v>
      </c>
      <c r="B159" s="7">
        <v>7</v>
      </c>
      <c r="C159" s="7">
        <v>7</v>
      </c>
      <c r="D159" s="7" t="str">
        <f>IF(B159=C159,"MATCH","MISMATCH")</f>
        <v>MATCH</v>
      </c>
      <c r="E159" s="7">
        <f>IF(F159="None",1,0)</f>
        <v>1</v>
      </c>
      <c r="F159" s="7" t="s">
        <v>17</v>
      </c>
      <c r="G159" s="7">
        <v>0</v>
      </c>
      <c r="H159" s="7">
        <v>0</v>
      </c>
      <c r="I159" s="7">
        <f>IF(AND(E159=0,G159=0),1,0)</f>
        <v>0</v>
      </c>
      <c r="J159" s="7">
        <f>IF(AND(E159=0,H159=0),1,0)</f>
        <v>0</v>
      </c>
      <c r="K159" s="7">
        <f>I159*'05 Methodology'!$B$7</f>
        <v>0</v>
      </c>
      <c r="L159" s="7">
        <f>J159*'05 Methodology'!$B$7</f>
        <v>0</v>
      </c>
      <c r="M159" s="7" t="str">
        <f>IF(G159=1,"FLAG / HOLD","INDEXED")</f>
        <v>INDEXED</v>
      </c>
      <c r="N159" s="1" t="str">
        <f>IF(H159=1,"FLAG / HOLD","INDEXED")</f>
        <v>INDEXED</v>
      </c>
      <c r="O159" s="1" t="s">
        <v>18</v>
      </c>
      <c r="P159" s="1" t="s">
        <v>19</v>
      </c>
      <c r="Q159" s="1"/>
      <c r="R159" s="1"/>
      <c r="S159" s="1"/>
      <c r="T159" s="1"/>
      <c r="U159" s="1"/>
    </row>
    <row r="160" spans="1:21" x14ac:dyDescent="0.2">
      <c r="A160" s="7" t="s">
        <v>180</v>
      </c>
      <c r="B160" s="7">
        <v>8</v>
      </c>
      <c r="C160" s="7">
        <v>8</v>
      </c>
      <c r="D160" s="7" t="str">
        <f>IF(B160=C160,"MATCH","MISMATCH")</f>
        <v>MATCH</v>
      </c>
      <c r="E160" s="7">
        <f>IF(F160="None",1,0)</f>
        <v>1</v>
      </c>
      <c r="F160" s="7" t="s">
        <v>17</v>
      </c>
      <c r="G160" s="7">
        <v>0</v>
      </c>
      <c r="H160" s="7">
        <v>0</v>
      </c>
      <c r="I160" s="7">
        <f>IF(AND(E160=0,G160=0),1,0)</f>
        <v>0</v>
      </c>
      <c r="J160" s="7">
        <f>IF(AND(E160=0,H160=0),1,0)</f>
        <v>0</v>
      </c>
      <c r="K160" s="7">
        <f>I160*'05 Methodology'!$B$7</f>
        <v>0</v>
      </c>
      <c r="L160" s="7">
        <f>J160*'05 Methodology'!$B$7</f>
        <v>0</v>
      </c>
      <c r="M160" s="7" t="str">
        <f>IF(G160=1,"FLAG / HOLD","INDEXED")</f>
        <v>INDEXED</v>
      </c>
      <c r="N160" s="1" t="str">
        <f>IF(H160=1,"FLAG / HOLD","INDEXED")</f>
        <v>INDEXED</v>
      </c>
      <c r="O160" s="1" t="s">
        <v>18</v>
      </c>
      <c r="P160" s="1" t="s">
        <v>19</v>
      </c>
      <c r="Q160" s="1"/>
      <c r="R160" s="1"/>
      <c r="S160" s="1"/>
      <c r="T160" s="1"/>
      <c r="U160" s="1"/>
    </row>
    <row r="161" spans="1:21" x14ac:dyDescent="0.2">
      <c r="A161" s="7" t="s">
        <v>181</v>
      </c>
      <c r="B161" s="7">
        <v>4</v>
      </c>
      <c r="C161" s="7">
        <v>4</v>
      </c>
      <c r="D161" s="7" t="str">
        <f>IF(B161=C161,"MATCH","MISMATCH")</f>
        <v>MATCH</v>
      </c>
      <c r="E161" s="7">
        <f>IF(F161="None",1,0)</f>
        <v>1</v>
      </c>
      <c r="F161" s="7" t="s">
        <v>17</v>
      </c>
      <c r="G161" s="7">
        <v>0</v>
      </c>
      <c r="H161" s="7">
        <v>0</v>
      </c>
      <c r="I161" s="7">
        <f>IF(AND(E161=0,G161=0),1,0)</f>
        <v>0</v>
      </c>
      <c r="J161" s="7">
        <f>IF(AND(E161=0,H161=0),1,0)</f>
        <v>0</v>
      </c>
      <c r="K161" s="7">
        <f>I161*'05 Methodology'!$B$7</f>
        <v>0</v>
      </c>
      <c r="L161" s="7">
        <f>J161*'05 Methodology'!$B$7</f>
        <v>0</v>
      </c>
      <c r="M161" s="7" t="str">
        <f>IF(G161=1,"FLAG / HOLD","INDEXED")</f>
        <v>INDEXED</v>
      </c>
      <c r="N161" s="1" t="str">
        <f>IF(H161=1,"FLAG / HOLD","INDEXED")</f>
        <v>INDEXED</v>
      </c>
      <c r="O161" s="1" t="s">
        <v>18</v>
      </c>
      <c r="P161" s="1" t="s">
        <v>19</v>
      </c>
      <c r="Q161" s="1"/>
      <c r="R161" s="1"/>
      <c r="S161" s="1"/>
      <c r="T161" s="1"/>
      <c r="U161" s="1"/>
    </row>
    <row r="162" spans="1:21" x14ac:dyDescent="0.2">
      <c r="A162" s="7" t="s">
        <v>182</v>
      </c>
      <c r="B162" s="7">
        <v>6</v>
      </c>
      <c r="C162" s="7">
        <v>6</v>
      </c>
      <c r="D162" s="7" t="str">
        <f>IF(B162=C162,"MATCH","MISMATCH")</f>
        <v>MATCH</v>
      </c>
      <c r="E162" s="7">
        <f>IF(F162="None",1,0)</f>
        <v>1</v>
      </c>
      <c r="F162" s="7" t="s">
        <v>17</v>
      </c>
      <c r="G162" s="7">
        <v>0</v>
      </c>
      <c r="H162" s="7">
        <v>0</v>
      </c>
      <c r="I162" s="7">
        <f>IF(AND(E162=0,G162=0),1,0)</f>
        <v>0</v>
      </c>
      <c r="J162" s="7">
        <f>IF(AND(E162=0,H162=0),1,0)</f>
        <v>0</v>
      </c>
      <c r="K162" s="7">
        <f>I162*'05 Methodology'!$B$7</f>
        <v>0</v>
      </c>
      <c r="L162" s="7">
        <f>J162*'05 Methodology'!$B$7</f>
        <v>0</v>
      </c>
      <c r="M162" s="7" t="str">
        <f>IF(G162=1,"FLAG / HOLD","INDEXED")</f>
        <v>INDEXED</v>
      </c>
      <c r="N162" s="1" t="str">
        <f>IF(H162=1,"FLAG / HOLD","INDEXED")</f>
        <v>INDEXED</v>
      </c>
      <c r="O162" s="1" t="s">
        <v>18</v>
      </c>
      <c r="P162" s="1" t="s">
        <v>19</v>
      </c>
      <c r="Q162" s="1"/>
      <c r="R162" s="1"/>
      <c r="S162" s="1"/>
      <c r="T162" s="1"/>
      <c r="U162" s="1"/>
    </row>
    <row r="163" spans="1:21" x14ac:dyDescent="0.2">
      <c r="A163" s="7" t="s">
        <v>183</v>
      </c>
      <c r="B163" s="7">
        <v>6</v>
      </c>
      <c r="C163" s="7">
        <v>6</v>
      </c>
      <c r="D163" s="7" t="str">
        <f>IF(B163=C163,"MATCH","MISMATCH")</f>
        <v>MATCH</v>
      </c>
      <c r="E163" s="7">
        <f>IF(F163="None",1,0)</f>
        <v>1</v>
      </c>
      <c r="F163" s="7" t="s">
        <v>17</v>
      </c>
      <c r="G163" s="7">
        <v>0</v>
      </c>
      <c r="H163" s="7">
        <v>0</v>
      </c>
      <c r="I163" s="7">
        <f>IF(AND(E163=0,G163=0),1,0)</f>
        <v>0</v>
      </c>
      <c r="J163" s="7">
        <f>IF(AND(E163=0,H163=0),1,0)</f>
        <v>0</v>
      </c>
      <c r="K163" s="7">
        <f>I163*'05 Methodology'!$B$7</f>
        <v>0</v>
      </c>
      <c r="L163" s="7">
        <f>J163*'05 Methodology'!$B$7</f>
        <v>0</v>
      </c>
      <c r="M163" s="7" t="str">
        <f>IF(G163=1,"FLAG / HOLD","INDEXED")</f>
        <v>INDEXED</v>
      </c>
      <c r="N163" s="1" t="str">
        <f>IF(H163=1,"FLAG / HOLD","INDEXED")</f>
        <v>INDEXED</v>
      </c>
      <c r="O163" s="1" t="s">
        <v>18</v>
      </c>
      <c r="P163" s="1" t="s">
        <v>19</v>
      </c>
      <c r="Q163" s="1"/>
      <c r="R163" s="1"/>
      <c r="S163" s="1"/>
      <c r="T163" s="1"/>
      <c r="U163" s="1"/>
    </row>
    <row r="164" spans="1:21" x14ac:dyDescent="0.2">
      <c r="A164" s="7" t="s">
        <v>184</v>
      </c>
      <c r="B164" s="7">
        <v>7</v>
      </c>
      <c r="C164" s="7">
        <v>7</v>
      </c>
      <c r="D164" s="7" t="str">
        <f>IF(B164=C164,"MATCH","MISMATCH")</f>
        <v>MATCH</v>
      </c>
      <c r="E164" s="7">
        <f>IF(F164="None",1,0)</f>
        <v>1</v>
      </c>
      <c r="F164" s="7" t="s">
        <v>17</v>
      </c>
      <c r="G164" s="7">
        <v>0</v>
      </c>
      <c r="H164" s="7">
        <v>0</v>
      </c>
      <c r="I164" s="7">
        <f>IF(AND(E164=0,G164=0),1,0)</f>
        <v>0</v>
      </c>
      <c r="J164" s="7">
        <f>IF(AND(E164=0,H164=0),1,0)</f>
        <v>0</v>
      </c>
      <c r="K164" s="7">
        <f>I164*'05 Methodology'!$B$7</f>
        <v>0</v>
      </c>
      <c r="L164" s="7">
        <f>J164*'05 Methodology'!$B$7</f>
        <v>0</v>
      </c>
      <c r="M164" s="7" t="str">
        <f>IF(G164=1,"FLAG / HOLD","INDEXED")</f>
        <v>INDEXED</v>
      </c>
      <c r="N164" s="1" t="str">
        <f>IF(H164=1,"FLAG / HOLD","INDEXED")</f>
        <v>INDEXED</v>
      </c>
      <c r="O164" s="1" t="s">
        <v>18</v>
      </c>
      <c r="P164" s="1" t="s">
        <v>19</v>
      </c>
      <c r="Q164" s="1"/>
      <c r="R164" s="1"/>
      <c r="S164" s="1"/>
      <c r="T164" s="1"/>
      <c r="U164" s="1"/>
    </row>
    <row r="165" spans="1:21" x14ac:dyDescent="0.2">
      <c r="A165" s="7" t="s">
        <v>185</v>
      </c>
      <c r="B165" s="7">
        <v>8</v>
      </c>
      <c r="C165" s="7">
        <v>7</v>
      </c>
      <c r="D165" s="7" t="str">
        <f>IF(B165=C165,"MATCH","MISMATCH")</f>
        <v>MISMATCH</v>
      </c>
      <c r="E165" s="7">
        <f>IF(F165="None",1,0)</f>
        <v>0</v>
      </c>
      <c r="F165" s="7" t="s">
        <v>38</v>
      </c>
      <c r="G165" s="7">
        <v>1</v>
      </c>
      <c r="H165" s="7">
        <v>1</v>
      </c>
      <c r="I165" s="7">
        <f>IF(AND(E165=0,G165=0),1,0)</f>
        <v>0</v>
      </c>
      <c r="J165" s="7">
        <f>IF(AND(E165=0,H165=0),1,0)</f>
        <v>0</v>
      </c>
      <c r="K165" s="7">
        <f>I165*'05 Methodology'!$B$7</f>
        <v>0</v>
      </c>
      <c r="L165" s="7">
        <f>J165*'05 Methodology'!$B$7</f>
        <v>0</v>
      </c>
      <c r="M165" s="7" t="str">
        <f>IF(G165=1,"FLAG / HOLD","INDEXED")</f>
        <v>FLAG / HOLD</v>
      </c>
      <c r="N165" s="1" t="str">
        <f>IF(H165=1,"FLAG / HOLD","INDEXED")</f>
        <v>FLAG / HOLD</v>
      </c>
      <c r="O165" s="1" t="s">
        <v>18</v>
      </c>
      <c r="P165" s="1" t="s">
        <v>19</v>
      </c>
      <c r="Q165" s="1"/>
      <c r="R165" s="1"/>
      <c r="S165" s="1"/>
      <c r="T165" s="1"/>
      <c r="U165" s="1"/>
    </row>
    <row r="166" spans="1:21" x14ac:dyDescent="0.2">
      <c r="A166" s="7" t="s">
        <v>186</v>
      </c>
      <c r="B166" s="7">
        <v>4</v>
      </c>
      <c r="C166" s="7">
        <v>4</v>
      </c>
      <c r="D166" s="7" t="str">
        <f>IF(B166=C166,"MATCH","MISMATCH")</f>
        <v>MATCH</v>
      </c>
      <c r="E166" s="7">
        <f>IF(F166="None",1,0)</f>
        <v>1</v>
      </c>
      <c r="F166" s="7" t="s">
        <v>17</v>
      </c>
      <c r="G166" s="7">
        <v>0</v>
      </c>
      <c r="H166" s="7">
        <v>0</v>
      </c>
      <c r="I166" s="7">
        <f>IF(AND(E166=0,G166=0),1,0)</f>
        <v>0</v>
      </c>
      <c r="J166" s="7">
        <f>IF(AND(E166=0,H166=0),1,0)</f>
        <v>0</v>
      </c>
      <c r="K166" s="7">
        <f>I166*'05 Methodology'!$B$7</f>
        <v>0</v>
      </c>
      <c r="L166" s="7">
        <f>J166*'05 Methodology'!$B$7</f>
        <v>0</v>
      </c>
      <c r="M166" s="7" t="str">
        <f>IF(G166=1,"FLAG / HOLD","INDEXED")</f>
        <v>INDEXED</v>
      </c>
      <c r="N166" s="1" t="str">
        <f>IF(H166=1,"FLAG / HOLD","INDEXED")</f>
        <v>INDEXED</v>
      </c>
      <c r="O166" s="1" t="s">
        <v>18</v>
      </c>
      <c r="P166" s="1" t="s">
        <v>19</v>
      </c>
      <c r="Q166" s="1"/>
      <c r="R166" s="1"/>
      <c r="S166" s="1"/>
      <c r="T166" s="1"/>
      <c r="U166" s="1"/>
    </row>
    <row r="167" spans="1:21" x14ac:dyDescent="0.2">
      <c r="A167" s="7" t="s">
        <v>187</v>
      </c>
      <c r="B167" s="7">
        <v>5</v>
      </c>
      <c r="C167" s="7">
        <v>5</v>
      </c>
      <c r="D167" s="7" t="str">
        <f>IF(B167=C167,"MATCH","MISMATCH")</f>
        <v>MATCH</v>
      </c>
      <c r="E167" s="7">
        <f>IF(F167="None",1,0)</f>
        <v>1</v>
      </c>
      <c r="F167" s="7" t="s">
        <v>17</v>
      </c>
      <c r="G167" s="7">
        <v>0</v>
      </c>
      <c r="H167" s="7">
        <v>0</v>
      </c>
      <c r="I167" s="7">
        <f>IF(AND(E167=0,G167=0),1,0)</f>
        <v>0</v>
      </c>
      <c r="J167" s="7">
        <f>IF(AND(E167=0,H167=0),1,0)</f>
        <v>0</v>
      </c>
      <c r="K167" s="7">
        <f>I167*'05 Methodology'!$B$7</f>
        <v>0</v>
      </c>
      <c r="L167" s="7">
        <f>J167*'05 Methodology'!$B$7</f>
        <v>0</v>
      </c>
      <c r="M167" s="7" t="str">
        <f>IF(G167=1,"FLAG / HOLD","INDEXED")</f>
        <v>INDEXED</v>
      </c>
      <c r="N167" s="1" t="str">
        <f>IF(H167=1,"FLAG / HOLD","INDEXED")</f>
        <v>INDEXED</v>
      </c>
      <c r="O167" s="1" t="s">
        <v>18</v>
      </c>
      <c r="P167" s="1" t="s">
        <v>19</v>
      </c>
      <c r="Q167" s="1"/>
      <c r="R167" s="1"/>
      <c r="S167" s="1"/>
      <c r="T167" s="1"/>
      <c r="U167" s="1"/>
    </row>
    <row r="168" spans="1:21" x14ac:dyDescent="0.2">
      <c r="A168" s="7" t="s">
        <v>188</v>
      </c>
      <c r="B168" s="7">
        <v>6</v>
      </c>
      <c r="C168" s="7">
        <v>6</v>
      </c>
      <c r="D168" s="7" t="str">
        <f>IF(B168=C168,"MATCH","MISMATCH")</f>
        <v>MATCH</v>
      </c>
      <c r="E168" s="7">
        <f>IF(F168="None",1,0)</f>
        <v>1</v>
      </c>
      <c r="F168" s="7" t="s">
        <v>17</v>
      </c>
      <c r="G168" s="7">
        <v>0</v>
      </c>
      <c r="H168" s="7">
        <v>0</v>
      </c>
      <c r="I168" s="7">
        <f>IF(AND(E168=0,G168=0),1,0)</f>
        <v>0</v>
      </c>
      <c r="J168" s="7">
        <f>IF(AND(E168=0,H168=0),1,0)</f>
        <v>0</v>
      </c>
      <c r="K168" s="7">
        <f>I168*'05 Methodology'!$B$7</f>
        <v>0</v>
      </c>
      <c r="L168" s="7">
        <f>J168*'05 Methodology'!$B$7</f>
        <v>0</v>
      </c>
      <c r="M168" s="7" t="str">
        <f>IF(G168=1,"FLAG / HOLD","INDEXED")</f>
        <v>INDEXED</v>
      </c>
      <c r="N168" s="1" t="str">
        <f>IF(H168=1,"FLAG / HOLD","INDEXED")</f>
        <v>INDEXED</v>
      </c>
      <c r="O168" s="1" t="s">
        <v>18</v>
      </c>
      <c r="P168" s="1" t="s">
        <v>19</v>
      </c>
      <c r="Q168" s="1"/>
      <c r="R168" s="1"/>
      <c r="S168" s="1"/>
      <c r="T168" s="1"/>
      <c r="U168" s="1"/>
    </row>
    <row r="169" spans="1:21" x14ac:dyDescent="0.2">
      <c r="A169" s="7" t="s">
        <v>189</v>
      </c>
      <c r="B169" s="7">
        <v>6</v>
      </c>
      <c r="C169" s="7">
        <v>6</v>
      </c>
      <c r="D169" s="7" t="str">
        <f>IF(B169=C169,"MATCH","MISMATCH")</f>
        <v>MATCH</v>
      </c>
      <c r="E169" s="7">
        <f>IF(F169="None",1,0)</f>
        <v>1</v>
      </c>
      <c r="F169" s="7" t="s">
        <v>17</v>
      </c>
      <c r="G169" s="7">
        <v>0</v>
      </c>
      <c r="H169" s="7">
        <v>0</v>
      </c>
      <c r="I169" s="7">
        <f>IF(AND(E169=0,G169=0),1,0)</f>
        <v>0</v>
      </c>
      <c r="J169" s="7">
        <f>IF(AND(E169=0,H169=0),1,0)</f>
        <v>0</v>
      </c>
      <c r="K169" s="7">
        <f>I169*'05 Methodology'!$B$7</f>
        <v>0</v>
      </c>
      <c r="L169" s="7">
        <f>J169*'05 Methodology'!$B$7</f>
        <v>0</v>
      </c>
      <c r="M169" s="7" t="str">
        <f>IF(G169=1,"FLAG / HOLD","INDEXED")</f>
        <v>INDEXED</v>
      </c>
      <c r="N169" s="1" t="str">
        <f>IF(H169=1,"FLAG / HOLD","INDEXED")</f>
        <v>INDEXED</v>
      </c>
      <c r="O169" s="1" t="s">
        <v>18</v>
      </c>
      <c r="P169" s="1" t="s">
        <v>19</v>
      </c>
      <c r="Q169" s="1"/>
      <c r="R169" s="1"/>
      <c r="S169" s="1"/>
      <c r="T169" s="1"/>
      <c r="U169" s="1"/>
    </row>
    <row r="170" spans="1:21" x14ac:dyDescent="0.2">
      <c r="A170" s="7" t="s">
        <v>190</v>
      </c>
      <c r="B170" s="7">
        <v>8</v>
      </c>
      <c r="C170" s="7">
        <v>8</v>
      </c>
      <c r="D170" s="7" t="str">
        <f>IF(B170=C170,"MATCH","MISMATCH")</f>
        <v>MATCH</v>
      </c>
      <c r="E170" s="7">
        <f>IF(F170="None",1,0)</f>
        <v>1</v>
      </c>
      <c r="F170" s="7" t="s">
        <v>17</v>
      </c>
      <c r="G170" s="7">
        <v>0</v>
      </c>
      <c r="H170" s="7">
        <v>0</v>
      </c>
      <c r="I170" s="7">
        <f>IF(AND(E170=0,G170=0),1,0)</f>
        <v>0</v>
      </c>
      <c r="J170" s="7">
        <f>IF(AND(E170=0,H170=0),1,0)</f>
        <v>0</v>
      </c>
      <c r="K170" s="7">
        <f>I170*'05 Methodology'!$B$7</f>
        <v>0</v>
      </c>
      <c r="L170" s="7">
        <f>J170*'05 Methodology'!$B$7</f>
        <v>0</v>
      </c>
      <c r="M170" s="7" t="str">
        <f>IF(G170=1,"FLAG / HOLD","INDEXED")</f>
        <v>INDEXED</v>
      </c>
      <c r="N170" s="1" t="str">
        <f>IF(H170=1,"FLAG / HOLD","INDEXED")</f>
        <v>INDEXED</v>
      </c>
      <c r="O170" s="1" t="s">
        <v>18</v>
      </c>
      <c r="P170" s="1" t="s">
        <v>19</v>
      </c>
      <c r="Q170" s="1"/>
      <c r="R170" s="1"/>
      <c r="S170" s="1"/>
      <c r="T170" s="1"/>
      <c r="U170" s="1"/>
    </row>
    <row r="171" spans="1:21" x14ac:dyDescent="0.2">
      <c r="A171" s="7" t="s">
        <v>191</v>
      </c>
      <c r="B171" s="7">
        <v>4</v>
      </c>
      <c r="C171" s="7">
        <v>4</v>
      </c>
      <c r="D171" s="7" t="str">
        <f>IF(B171=C171,"MATCH","MISMATCH")</f>
        <v>MATCH</v>
      </c>
      <c r="E171" s="7">
        <f>IF(F171="None",1,0)</f>
        <v>1</v>
      </c>
      <c r="F171" s="7" t="s">
        <v>17</v>
      </c>
      <c r="G171" s="7">
        <v>0</v>
      </c>
      <c r="H171" s="7">
        <v>0</v>
      </c>
      <c r="I171" s="7">
        <f>IF(AND(E171=0,G171=0),1,0)</f>
        <v>0</v>
      </c>
      <c r="J171" s="7">
        <f>IF(AND(E171=0,H171=0),1,0)</f>
        <v>0</v>
      </c>
      <c r="K171" s="7">
        <f>I171*'05 Methodology'!$B$7</f>
        <v>0</v>
      </c>
      <c r="L171" s="7">
        <f>J171*'05 Methodology'!$B$7</f>
        <v>0</v>
      </c>
      <c r="M171" s="7" t="str">
        <f>IF(G171=1,"FLAG / HOLD","INDEXED")</f>
        <v>INDEXED</v>
      </c>
      <c r="N171" s="1" t="str">
        <f>IF(H171=1,"FLAG / HOLD","INDEXED")</f>
        <v>INDEXED</v>
      </c>
      <c r="O171" s="1" t="s">
        <v>18</v>
      </c>
      <c r="P171" s="1" t="s">
        <v>19</v>
      </c>
      <c r="Q171" s="1"/>
      <c r="R171" s="1"/>
      <c r="S171" s="1"/>
      <c r="T171" s="1"/>
      <c r="U171" s="1"/>
    </row>
    <row r="172" spans="1:21" x14ac:dyDescent="0.2">
      <c r="A172" s="7" t="s">
        <v>192</v>
      </c>
      <c r="B172" s="7">
        <v>5</v>
      </c>
      <c r="C172" s="7">
        <v>4</v>
      </c>
      <c r="D172" s="7" t="str">
        <f>IF(B172=C172,"MATCH","MISMATCH")</f>
        <v>MISMATCH</v>
      </c>
      <c r="E172" s="7">
        <f>IF(F172="None",1,0)</f>
        <v>0</v>
      </c>
      <c r="F172" s="7" t="s">
        <v>38</v>
      </c>
      <c r="G172" s="7">
        <v>0</v>
      </c>
      <c r="H172" s="7">
        <v>0</v>
      </c>
      <c r="I172" s="7">
        <f>IF(AND(E172=0,G172=0),1,0)</f>
        <v>1</v>
      </c>
      <c r="J172" s="7">
        <f>IF(AND(E172=0,H172=0),1,0)</f>
        <v>1</v>
      </c>
      <c r="K172" s="7">
        <f>I172*'05 Methodology'!$B$7</f>
        <v>20</v>
      </c>
      <c r="L172" s="7">
        <f>J172*'05 Methodology'!$B$7</f>
        <v>20</v>
      </c>
      <c r="M172" s="7" t="str">
        <f>IF(G172=1,"FLAG / HOLD","INDEXED")</f>
        <v>INDEXED</v>
      </c>
      <c r="N172" s="1" t="str">
        <f>IF(H172=1,"FLAG / HOLD","INDEXED")</f>
        <v>INDEXED</v>
      </c>
      <c r="O172" s="1" t="s">
        <v>18</v>
      </c>
      <c r="P172" s="1" t="s">
        <v>19</v>
      </c>
      <c r="Q172" s="1"/>
      <c r="R172" s="1"/>
      <c r="S172" s="1"/>
      <c r="T172" s="1"/>
      <c r="U172" s="1"/>
    </row>
    <row r="173" spans="1:21" x14ac:dyDescent="0.2">
      <c r="A173" s="7" t="s">
        <v>193</v>
      </c>
      <c r="B173" s="7">
        <v>6</v>
      </c>
      <c r="C173" s="7">
        <v>6</v>
      </c>
      <c r="D173" s="7" t="str">
        <f>IF(B173=C173,"MATCH","MISMATCH")</f>
        <v>MATCH</v>
      </c>
      <c r="E173" s="7">
        <f>IF(F173="None",1,0)</f>
        <v>1</v>
      </c>
      <c r="F173" s="7" t="s">
        <v>17</v>
      </c>
      <c r="G173" s="7">
        <v>0</v>
      </c>
      <c r="H173" s="7">
        <v>0</v>
      </c>
      <c r="I173" s="7">
        <f>IF(AND(E173=0,G173=0),1,0)</f>
        <v>0</v>
      </c>
      <c r="J173" s="7">
        <f>IF(AND(E173=0,H173=0),1,0)</f>
        <v>0</v>
      </c>
      <c r="K173" s="7">
        <f>I173*'05 Methodology'!$B$7</f>
        <v>0</v>
      </c>
      <c r="L173" s="7">
        <f>J173*'05 Methodology'!$B$7</f>
        <v>0</v>
      </c>
      <c r="M173" s="7" t="str">
        <f>IF(G173=1,"FLAG / HOLD","INDEXED")</f>
        <v>INDEXED</v>
      </c>
      <c r="N173" s="1" t="str">
        <f>IF(H173=1,"FLAG / HOLD","INDEXED")</f>
        <v>INDEXED</v>
      </c>
      <c r="O173" s="1" t="s">
        <v>18</v>
      </c>
      <c r="P173" s="1" t="s">
        <v>19</v>
      </c>
      <c r="Q173" s="1"/>
      <c r="R173" s="1"/>
      <c r="S173" s="1"/>
      <c r="T173" s="1"/>
      <c r="U173" s="1"/>
    </row>
    <row r="174" spans="1:21" x14ac:dyDescent="0.2">
      <c r="A174" s="7" t="s">
        <v>194</v>
      </c>
      <c r="B174" s="7">
        <v>7</v>
      </c>
      <c r="C174" s="7">
        <v>7</v>
      </c>
      <c r="D174" s="7" t="str">
        <f>IF(B174=C174,"MATCH","MISMATCH")</f>
        <v>MATCH</v>
      </c>
      <c r="E174" s="7">
        <f>IF(F174="None",1,0)</f>
        <v>1</v>
      </c>
      <c r="F174" s="7" t="s">
        <v>17</v>
      </c>
      <c r="G174" s="7">
        <v>0</v>
      </c>
      <c r="H174" s="7">
        <v>0</v>
      </c>
      <c r="I174" s="7">
        <f>IF(AND(E174=0,G174=0),1,0)</f>
        <v>0</v>
      </c>
      <c r="J174" s="7">
        <f>IF(AND(E174=0,H174=0),1,0)</f>
        <v>0</v>
      </c>
      <c r="K174" s="7">
        <f>I174*'05 Methodology'!$B$7</f>
        <v>0</v>
      </c>
      <c r="L174" s="7">
        <f>J174*'05 Methodology'!$B$7</f>
        <v>0</v>
      </c>
      <c r="M174" s="7" t="str">
        <f>IF(G174=1,"FLAG / HOLD","INDEXED")</f>
        <v>INDEXED</v>
      </c>
      <c r="N174" s="1" t="str">
        <f>IF(H174=1,"FLAG / HOLD","INDEXED")</f>
        <v>INDEXED</v>
      </c>
      <c r="O174" s="1" t="s">
        <v>18</v>
      </c>
      <c r="P174" s="1" t="s">
        <v>19</v>
      </c>
      <c r="Q174" s="1"/>
      <c r="R174" s="1"/>
      <c r="S174" s="1"/>
      <c r="T174" s="1"/>
      <c r="U174" s="1"/>
    </row>
    <row r="175" spans="1:21" x14ac:dyDescent="0.2">
      <c r="A175" s="7" t="s">
        <v>195</v>
      </c>
      <c r="B175" s="7">
        <v>8</v>
      </c>
      <c r="C175" s="7">
        <v>8</v>
      </c>
      <c r="D175" s="7" t="str">
        <f>IF(B175=C175,"MATCH","MISMATCH")</f>
        <v>MATCH</v>
      </c>
      <c r="E175" s="7">
        <f>IF(F175="None",1,0)</f>
        <v>1</v>
      </c>
      <c r="F175" s="7" t="s">
        <v>17</v>
      </c>
      <c r="G175" s="7">
        <v>0</v>
      </c>
      <c r="H175" s="7">
        <v>0</v>
      </c>
      <c r="I175" s="7">
        <f>IF(AND(E175=0,G175=0),1,0)</f>
        <v>0</v>
      </c>
      <c r="J175" s="7">
        <f>IF(AND(E175=0,H175=0),1,0)</f>
        <v>0</v>
      </c>
      <c r="K175" s="7">
        <f>I175*'05 Methodology'!$B$7</f>
        <v>0</v>
      </c>
      <c r="L175" s="7">
        <f>J175*'05 Methodology'!$B$7</f>
        <v>0</v>
      </c>
      <c r="M175" s="7" t="str">
        <f>IF(G175=1,"FLAG / HOLD","INDEXED")</f>
        <v>INDEXED</v>
      </c>
      <c r="N175" s="1" t="str">
        <f>IF(H175=1,"FLAG / HOLD","INDEXED")</f>
        <v>INDEXED</v>
      </c>
      <c r="O175" s="1" t="s">
        <v>18</v>
      </c>
      <c r="P175" s="1" t="s">
        <v>19</v>
      </c>
      <c r="Q175" s="1"/>
      <c r="R175" s="1"/>
      <c r="S175" s="1"/>
      <c r="T175" s="1"/>
      <c r="U175" s="1"/>
    </row>
    <row r="176" spans="1:21" x14ac:dyDescent="0.2">
      <c r="A176" s="7" t="s">
        <v>196</v>
      </c>
      <c r="B176" s="7">
        <v>6</v>
      </c>
      <c r="C176" s="7">
        <v>6</v>
      </c>
      <c r="D176" s="7" t="str">
        <f>IF(B176=C176,"MATCH","MISMATCH")</f>
        <v>MATCH</v>
      </c>
      <c r="E176" s="7">
        <f>IF(F176="None",1,0)</f>
        <v>1</v>
      </c>
      <c r="F176" s="7" t="s">
        <v>17</v>
      </c>
      <c r="G176" s="7">
        <v>0</v>
      </c>
      <c r="H176" s="7">
        <v>0</v>
      </c>
      <c r="I176" s="7">
        <f>IF(AND(E176=0,G176=0),1,0)</f>
        <v>0</v>
      </c>
      <c r="J176" s="7">
        <f>IF(AND(E176=0,H176=0),1,0)</f>
        <v>0</v>
      </c>
      <c r="K176" s="7">
        <f>I176*'05 Methodology'!$B$7</f>
        <v>0</v>
      </c>
      <c r="L176" s="7">
        <f>J176*'05 Methodology'!$B$7</f>
        <v>0</v>
      </c>
      <c r="M176" s="7" t="str">
        <f>IF(G176=1,"FLAG / HOLD","INDEXED")</f>
        <v>INDEXED</v>
      </c>
      <c r="N176" s="1" t="str">
        <f>IF(H176=1,"FLAG / HOLD","INDEXED")</f>
        <v>INDEXED</v>
      </c>
      <c r="O176" s="1" t="s">
        <v>18</v>
      </c>
      <c r="P176" s="1" t="s">
        <v>19</v>
      </c>
      <c r="Q176" s="1"/>
      <c r="R176" s="1"/>
      <c r="S176" s="1"/>
      <c r="T176" s="1"/>
      <c r="U176" s="1"/>
    </row>
    <row r="177" spans="1:21" x14ac:dyDescent="0.2">
      <c r="A177" s="7" t="s">
        <v>197</v>
      </c>
      <c r="B177" s="7">
        <v>5</v>
      </c>
      <c r="C177" s="7">
        <v>5</v>
      </c>
      <c r="D177" s="7" t="str">
        <f>IF(B177=C177,"MATCH","MISMATCH")</f>
        <v>MATCH</v>
      </c>
      <c r="E177" s="7">
        <f>IF(F177="None",1,0)</f>
        <v>1</v>
      </c>
      <c r="F177" s="7" t="s">
        <v>17</v>
      </c>
      <c r="G177" s="7">
        <v>0</v>
      </c>
      <c r="H177" s="7">
        <v>0</v>
      </c>
      <c r="I177" s="7">
        <f>IF(AND(E177=0,G177=0),1,0)</f>
        <v>0</v>
      </c>
      <c r="J177" s="7">
        <f>IF(AND(E177=0,H177=0),1,0)</f>
        <v>0</v>
      </c>
      <c r="K177" s="7">
        <f>I177*'05 Methodology'!$B$7</f>
        <v>0</v>
      </c>
      <c r="L177" s="7">
        <f>J177*'05 Methodology'!$B$7</f>
        <v>0</v>
      </c>
      <c r="M177" s="7" t="str">
        <f>IF(G177=1,"FLAG / HOLD","INDEXED")</f>
        <v>INDEXED</v>
      </c>
      <c r="N177" s="1" t="str">
        <f>IF(H177=1,"FLAG / HOLD","INDEXED")</f>
        <v>INDEXED</v>
      </c>
      <c r="O177" s="1" t="s">
        <v>18</v>
      </c>
      <c r="P177" s="1" t="s">
        <v>19</v>
      </c>
      <c r="Q177" s="1"/>
      <c r="R177" s="1"/>
      <c r="S177" s="1"/>
      <c r="T177" s="1"/>
      <c r="U177" s="1"/>
    </row>
    <row r="178" spans="1:21" x14ac:dyDescent="0.2">
      <c r="A178" s="7" t="s">
        <v>198</v>
      </c>
      <c r="B178" s="7">
        <v>6</v>
      </c>
      <c r="C178" s="7">
        <v>6</v>
      </c>
      <c r="D178" s="7" t="str">
        <f>IF(B178=C178,"MATCH","MISMATCH")</f>
        <v>MATCH</v>
      </c>
      <c r="E178" s="7">
        <f>IF(F178="None",1,0)</f>
        <v>1</v>
      </c>
      <c r="F178" s="7" t="s">
        <v>17</v>
      </c>
      <c r="G178" s="7">
        <v>0</v>
      </c>
      <c r="H178" s="7">
        <v>0</v>
      </c>
      <c r="I178" s="7">
        <f>IF(AND(E178=0,G178=0),1,0)</f>
        <v>0</v>
      </c>
      <c r="J178" s="7">
        <f>IF(AND(E178=0,H178=0),1,0)</f>
        <v>0</v>
      </c>
      <c r="K178" s="7">
        <f>I178*'05 Methodology'!$B$7</f>
        <v>0</v>
      </c>
      <c r="L178" s="7">
        <f>J178*'05 Methodology'!$B$7</f>
        <v>0</v>
      </c>
      <c r="M178" s="7" t="str">
        <f>IF(G178=1,"FLAG / HOLD","INDEXED")</f>
        <v>INDEXED</v>
      </c>
      <c r="N178" s="1" t="str">
        <f>IF(H178=1,"FLAG / HOLD","INDEXED")</f>
        <v>INDEXED</v>
      </c>
      <c r="O178" s="1" t="s">
        <v>18</v>
      </c>
      <c r="P178" s="1" t="s">
        <v>19</v>
      </c>
      <c r="Q178" s="1"/>
      <c r="R178" s="1"/>
      <c r="S178" s="1"/>
      <c r="T178" s="1"/>
      <c r="U178" s="1"/>
    </row>
    <row r="179" spans="1:21" x14ac:dyDescent="0.2">
      <c r="A179" s="7" t="s">
        <v>199</v>
      </c>
      <c r="B179" s="7">
        <v>7</v>
      </c>
      <c r="C179" s="7">
        <v>7</v>
      </c>
      <c r="D179" s="7" t="str">
        <f>IF(B179=C179,"MATCH","MISMATCH")</f>
        <v>MATCH</v>
      </c>
      <c r="E179" s="7">
        <f>IF(F179="None",1,0)</f>
        <v>1</v>
      </c>
      <c r="F179" s="7" t="s">
        <v>17</v>
      </c>
      <c r="G179" s="7">
        <v>0</v>
      </c>
      <c r="H179" s="7">
        <v>0</v>
      </c>
      <c r="I179" s="7">
        <f>IF(AND(E179=0,G179=0),1,0)</f>
        <v>0</v>
      </c>
      <c r="J179" s="7">
        <f>IF(AND(E179=0,H179=0),1,0)</f>
        <v>0</v>
      </c>
      <c r="K179" s="7">
        <f>I179*'05 Methodology'!$B$7</f>
        <v>0</v>
      </c>
      <c r="L179" s="7">
        <f>J179*'05 Methodology'!$B$7</f>
        <v>0</v>
      </c>
      <c r="M179" s="7" t="str">
        <f>IF(G179=1,"FLAG / HOLD","INDEXED")</f>
        <v>INDEXED</v>
      </c>
      <c r="N179" s="1" t="str">
        <f>IF(H179=1,"FLAG / HOLD","INDEXED")</f>
        <v>INDEXED</v>
      </c>
      <c r="O179" s="1" t="s">
        <v>18</v>
      </c>
      <c r="P179" s="1" t="s">
        <v>19</v>
      </c>
      <c r="Q179" s="1"/>
      <c r="R179" s="1"/>
      <c r="S179" s="1"/>
      <c r="T179" s="1"/>
      <c r="U179" s="1"/>
    </row>
    <row r="180" spans="1:21" x14ac:dyDescent="0.2">
      <c r="A180" s="7" t="s">
        <v>200</v>
      </c>
      <c r="B180" s="7">
        <v>8</v>
      </c>
      <c r="C180" s="7">
        <v>8</v>
      </c>
      <c r="D180" s="7" t="str">
        <f>IF(B180=C180,"MATCH","MISMATCH")</f>
        <v>MATCH</v>
      </c>
      <c r="E180" s="7">
        <f>IF(F180="None",1,0)</f>
        <v>1</v>
      </c>
      <c r="F180" s="7" t="s">
        <v>17</v>
      </c>
      <c r="G180" s="7">
        <v>0</v>
      </c>
      <c r="H180" s="7">
        <v>0</v>
      </c>
      <c r="I180" s="7">
        <f>IF(AND(E180=0,G180=0),1,0)</f>
        <v>0</v>
      </c>
      <c r="J180" s="7">
        <f>IF(AND(E180=0,H180=0),1,0)</f>
        <v>0</v>
      </c>
      <c r="K180" s="7">
        <f>I180*'05 Methodology'!$B$7</f>
        <v>0</v>
      </c>
      <c r="L180" s="7">
        <f>J180*'05 Methodology'!$B$7</f>
        <v>0</v>
      </c>
      <c r="M180" s="7" t="str">
        <f>IF(G180=1,"FLAG / HOLD","INDEXED")</f>
        <v>INDEXED</v>
      </c>
      <c r="N180" s="1" t="str">
        <f>IF(H180=1,"FLAG / HOLD","INDEXED")</f>
        <v>INDEXED</v>
      </c>
      <c r="O180" s="1" t="s">
        <v>18</v>
      </c>
      <c r="P180" s="1" t="s">
        <v>19</v>
      </c>
      <c r="Q180" s="1"/>
      <c r="R180" s="1"/>
      <c r="S180" s="1"/>
      <c r="T180" s="1"/>
      <c r="U180" s="1"/>
    </row>
    <row r="181" spans="1:21" x14ac:dyDescent="0.2">
      <c r="A181" s="7" t="s">
        <v>201</v>
      </c>
      <c r="B181" s="7">
        <v>4</v>
      </c>
      <c r="C181" s="7">
        <v>4</v>
      </c>
      <c r="D181" s="7" t="str">
        <f>IF(B181=C181,"MATCH","MISMATCH")</f>
        <v>MATCH</v>
      </c>
      <c r="E181" s="7">
        <f>IF(F181="None",1,0)</f>
        <v>1</v>
      </c>
      <c r="F181" s="7" t="s">
        <v>17</v>
      </c>
      <c r="G181" s="7">
        <v>0</v>
      </c>
      <c r="H181" s="7">
        <v>0</v>
      </c>
      <c r="I181" s="7">
        <f>IF(AND(E181=0,G181=0),1,0)</f>
        <v>0</v>
      </c>
      <c r="J181" s="7">
        <f>IF(AND(E181=0,H181=0),1,0)</f>
        <v>0</v>
      </c>
      <c r="K181" s="7">
        <f>I181*'05 Methodology'!$B$7</f>
        <v>0</v>
      </c>
      <c r="L181" s="7">
        <f>J181*'05 Methodology'!$B$7</f>
        <v>0</v>
      </c>
      <c r="M181" s="7" t="str">
        <f>IF(G181=1,"FLAG / HOLD","INDEXED")</f>
        <v>INDEXED</v>
      </c>
      <c r="N181" s="1" t="str">
        <f>IF(H181=1,"FLAG / HOLD","INDEXED")</f>
        <v>INDEXED</v>
      </c>
      <c r="O181" s="1" t="s">
        <v>18</v>
      </c>
      <c r="P181" s="1" t="s">
        <v>19</v>
      </c>
      <c r="Q181" s="1"/>
      <c r="R181" s="1"/>
      <c r="S181" s="1"/>
      <c r="T181" s="1"/>
      <c r="U181" s="1"/>
    </row>
    <row r="182" spans="1:21" x14ac:dyDescent="0.2">
      <c r="A182" s="7" t="s">
        <v>202</v>
      </c>
      <c r="B182" s="7">
        <v>5</v>
      </c>
      <c r="C182" s="7">
        <v>5</v>
      </c>
      <c r="D182" s="7" t="str">
        <f>IF(B182=C182,"MATCH","MISMATCH")</f>
        <v>MATCH</v>
      </c>
      <c r="E182" s="7">
        <f>IF(F182="None",1,0)</f>
        <v>1</v>
      </c>
      <c r="F182" s="7" t="s">
        <v>17</v>
      </c>
      <c r="G182" s="7">
        <v>0</v>
      </c>
      <c r="H182" s="7">
        <v>0</v>
      </c>
      <c r="I182" s="7">
        <f>IF(AND(E182=0,G182=0),1,0)</f>
        <v>0</v>
      </c>
      <c r="J182" s="7">
        <f>IF(AND(E182=0,H182=0),1,0)</f>
        <v>0</v>
      </c>
      <c r="K182" s="7">
        <f>I182*'05 Methodology'!$B$7</f>
        <v>0</v>
      </c>
      <c r="L182" s="7">
        <f>J182*'05 Methodology'!$B$7</f>
        <v>0</v>
      </c>
      <c r="M182" s="7" t="str">
        <f>IF(G182=1,"FLAG / HOLD","INDEXED")</f>
        <v>INDEXED</v>
      </c>
      <c r="N182" s="1" t="str">
        <f>IF(H182=1,"FLAG / HOLD","INDEXED")</f>
        <v>INDEXED</v>
      </c>
      <c r="O182" s="1" t="s">
        <v>18</v>
      </c>
      <c r="P182" s="1" t="s">
        <v>19</v>
      </c>
      <c r="Q182" s="1"/>
      <c r="R182" s="1"/>
      <c r="S182" s="1"/>
      <c r="T182" s="1"/>
      <c r="U182" s="1"/>
    </row>
    <row r="183" spans="1:21" x14ac:dyDescent="0.2">
      <c r="A183" s="7" t="s">
        <v>203</v>
      </c>
      <c r="B183" s="7">
        <v>6</v>
      </c>
      <c r="C183" s="7">
        <v>6</v>
      </c>
      <c r="D183" s="7" t="str">
        <f>IF(B183=C183,"MATCH","MISMATCH")</f>
        <v>MATCH</v>
      </c>
      <c r="E183" s="7">
        <f>IF(F183="None",1,0)</f>
        <v>1</v>
      </c>
      <c r="F183" s="7" t="s">
        <v>17</v>
      </c>
      <c r="G183" s="7">
        <v>0</v>
      </c>
      <c r="H183" s="7">
        <v>0</v>
      </c>
      <c r="I183" s="7">
        <f>IF(AND(E183=0,G183=0),1,0)</f>
        <v>0</v>
      </c>
      <c r="J183" s="7">
        <f>IF(AND(E183=0,H183=0),1,0)</f>
        <v>0</v>
      </c>
      <c r="K183" s="7">
        <f>I183*'05 Methodology'!$B$7</f>
        <v>0</v>
      </c>
      <c r="L183" s="7">
        <f>J183*'05 Methodology'!$B$7</f>
        <v>0</v>
      </c>
      <c r="M183" s="7" t="str">
        <f>IF(G183=1,"FLAG / HOLD","INDEXED")</f>
        <v>INDEXED</v>
      </c>
      <c r="N183" s="1" t="str">
        <f>IF(H183=1,"FLAG / HOLD","INDEXED")</f>
        <v>INDEXED</v>
      </c>
      <c r="O183" s="1" t="s">
        <v>18</v>
      </c>
      <c r="P183" s="1" t="s">
        <v>19</v>
      </c>
      <c r="Q183" s="1"/>
      <c r="R183" s="1"/>
      <c r="S183" s="1"/>
      <c r="T183" s="1"/>
      <c r="U183" s="1"/>
    </row>
    <row r="184" spans="1:21" x14ac:dyDescent="0.2">
      <c r="A184" s="7" t="s">
        <v>204</v>
      </c>
      <c r="B184" s="7">
        <v>7</v>
      </c>
      <c r="C184" s="7">
        <v>7</v>
      </c>
      <c r="D184" s="7" t="str">
        <f>IF(B184=C184,"MATCH","MISMATCH")</f>
        <v>MATCH</v>
      </c>
      <c r="E184" s="7">
        <f>IF(F184="None",1,0)</f>
        <v>1</v>
      </c>
      <c r="F184" s="7" t="s">
        <v>17</v>
      </c>
      <c r="G184" s="7">
        <v>0</v>
      </c>
      <c r="H184" s="7">
        <v>0</v>
      </c>
      <c r="I184" s="7">
        <f>IF(AND(E184=0,G184=0),1,0)</f>
        <v>0</v>
      </c>
      <c r="J184" s="7">
        <f>IF(AND(E184=0,H184=0),1,0)</f>
        <v>0</v>
      </c>
      <c r="K184" s="7">
        <f>I184*'05 Methodology'!$B$7</f>
        <v>0</v>
      </c>
      <c r="L184" s="7">
        <f>J184*'05 Methodology'!$B$7</f>
        <v>0</v>
      </c>
      <c r="M184" s="7" t="str">
        <f>IF(G184=1,"FLAG / HOLD","INDEXED")</f>
        <v>INDEXED</v>
      </c>
      <c r="N184" s="1" t="str">
        <f>IF(H184=1,"FLAG / HOLD","INDEXED")</f>
        <v>INDEXED</v>
      </c>
      <c r="O184" s="1" t="s">
        <v>18</v>
      </c>
      <c r="P184" s="1" t="s">
        <v>19</v>
      </c>
      <c r="Q184" s="1"/>
      <c r="R184" s="1"/>
      <c r="S184" s="1"/>
      <c r="T184" s="1"/>
      <c r="U184" s="1"/>
    </row>
    <row r="185" spans="1:21" x14ac:dyDescent="0.2">
      <c r="A185" s="7" t="s">
        <v>205</v>
      </c>
      <c r="B185" s="7">
        <v>8</v>
      </c>
      <c r="C185" s="7">
        <v>8</v>
      </c>
      <c r="D185" s="7" t="str">
        <f>IF(B185=C185,"MATCH","MISMATCH")</f>
        <v>MATCH</v>
      </c>
      <c r="E185" s="7">
        <f>IF(F185="None",1,0)</f>
        <v>1</v>
      </c>
      <c r="F185" s="7" t="s">
        <v>17</v>
      </c>
      <c r="G185" s="7">
        <v>0</v>
      </c>
      <c r="H185" s="7">
        <v>0</v>
      </c>
      <c r="I185" s="7">
        <f>IF(AND(E185=0,G185=0),1,0)</f>
        <v>0</v>
      </c>
      <c r="J185" s="7">
        <f>IF(AND(E185=0,H185=0),1,0)</f>
        <v>0</v>
      </c>
      <c r="K185" s="7">
        <f>I185*'05 Methodology'!$B$7</f>
        <v>0</v>
      </c>
      <c r="L185" s="7">
        <f>J185*'05 Methodology'!$B$7</f>
        <v>0</v>
      </c>
      <c r="M185" s="7" t="str">
        <f>IF(G185=1,"FLAG / HOLD","INDEXED")</f>
        <v>INDEXED</v>
      </c>
      <c r="N185" s="1" t="str">
        <f>IF(H185=1,"FLAG / HOLD","INDEXED")</f>
        <v>INDEXED</v>
      </c>
      <c r="O185" s="1" t="s">
        <v>18</v>
      </c>
      <c r="P185" s="1" t="s">
        <v>19</v>
      </c>
      <c r="Q185" s="1"/>
      <c r="R185" s="1"/>
      <c r="S185" s="1"/>
      <c r="T185" s="1"/>
      <c r="U185" s="1"/>
    </row>
    <row r="186" spans="1:21" x14ac:dyDescent="0.2">
      <c r="A186" s="7" t="s">
        <v>206</v>
      </c>
      <c r="B186" s="7">
        <v>4</v>
      </c>
      <c r="C186" s="7">
        <v>4</v>
      </c>
      <c r="D186" s="7" t="str">
        <f>IF(B186=C186,"MATCH","MISMATCH")</f>
        <v>MATCH</v>
      </c>
      <c r="E186" s="7">
        <f>IF(F186="None",1,0)</f>
        <v>1</v>
      </c>
      <c r="F186" s="7" t="s">
        <v>17</v>
      </c>
      <c r="G186" s="7">
        <v>0</v>
      </c>
      <c r="H186" s="7">
        <v>0</v>
      </c>
      <c r="I186" s="7">
        <f>IF(AND(E186=0,G186=0),1,0)</f>
        <v>0</v>
      </c>
      <c r="J186" s="7">
        <f>IF(AND(E186=0,H186=0),1,0)</f>
        <v>0</v>
      </c>
      <c r="K186" s="7">
        <f>I186*'05 Methodology'!$B$7</f>
        <v>0</v>
      </c>
      <c r="L186" s="7">
        <f>J186*'05 Methodology'!$B$7</f>
        <v>0</v>
      </c>
      <c r="M186" s="7" t="str">
        <f>IF(G186=1,"FLAG / HOLD","INDEXED")</f>
        <v>INDEXED</v>
      </c>
      <c r="N186" s="1" t="str">
        <f>IF(H186=1,"FLAG / HOLD","INDEXED")</f>
        <v>INDEXED</v>
      </c>
      <c r="O186" s="1" t="s">
        <v>18</v>
      </c>
      <c r="P186" s="1" t="s">
        <v>19</v>
      </c>
      <c r="Q186" s="1"/>
      <c r="R186" s="1"/>
      <c r="S186" s="1"/>
      <c r="T186" s="1"/>
      <c r="U186" s="1"/>
    </row>
    <row r="187" spans="1:21" x14ac:dyDescent="0.2">
      <c r="A187" s="7" t="s">
        <v>207</v>
      </c>
      <c r="B187" s="7">
        <v>5</v>
      </c>
      <c r="C187" s="7">
        <v>5</v>
      </c>
      <c r="D187" s="7" t="str">
        <f>IF(B187=C187,"MATCH","MISMATCH")</f>
        <v>MATCH</v>
      </c>
      <c r="E187" s="7">
        <f>IF(F187="None",1,0)</f>
        <v>1</v>
      </c>
      <c r="F187" s="7" t="s">
        <v>17</v>
      </c>
      <c r="G187" s="7">
        <v>0</v>
      </c>
      <c r="H187" s="7">
        <v>0</v>
      </c>
      <c r="I187" s="7">
        <f>IF(AND(E187=0,G187=0),1,0)</f>
        <v>0</v>
      </c>
      <c r="J187" s="7">
        <f>IF(AND(E187=0,H187=0),1,0)</f>
        <v>0</v>
      </c>
      <c r="K187" s="7">
        <f>I187*'05 Methodology'!$B$7</f>
        <v>0</v>
      </c>
      <c r="L187" s="7">
        <f>J187*'05 Methodology'!$B$7</f>
        <v>0</v>
      </c>
      <c r="M187" s="7" t="str">
        <f>IF(G187=1,"FLAG / HOLD","INDEXED")</f>
        <v>INDEXED</v>
      </c>
      <c r="N187" s="1" t="str">
        <f>IF(H187=1,"FLAG / HOLD","INDEXED")</f>
        <v>INDEXED</v>
      </c>
      <c r="O187" s="1" t="s">
        <v>18</v>
      </c>
      <c r="P187" s="1" t="s">
        <v>19</v>
      </c>
      <c r="Q187" s="1"/>
      <c r="R187" s="1"/>
      <c r="S187" s="1"/>
      <c r="T187" s="1"/>
      <c r="U187" s="1"/>
    </row>
    <row r="188" spans="1:21" x14ac:dyDescent="0.2">
      <c r="A188" s="7" t="s">
        <v>208</v>
      </c>
      <c r="B188" s="7">
        <v>6</v>
      </c>
      <c r="C188" s="7">
        <v>6</v>
      </c>
      <c r="D188" s="7" t="str">
        <f>IF(B188=C188,"MATCH","MISMATCH")</f>
        <v>MATCH</v>
      </c>
      <c r="E188" s="7">
        <f>IF(F188="None",1,0)</f>
        <v>1</v>
      </c>
      <c r="F188" s="7" t="s">
        <v>17</v>
      </c>
      <c r="G188" s="7">
        <v>0</v>
      </c>
      <c r="H188" s="7">
        <v>0</v>
      </c>
      <c r="I188" s="7">
        <f>IF(AND(E188=0,G188=0),1,0)</f>
        <v>0</v>
      </c>
      <c r="J188" s="7">
        <f>IF(AND(E188=0,H188=0),1,0)</f>
        <v>0</v>
      </c>
      <c r="K188" s="7">
        <f>I188*'05 Methodology'!$B$7</f>
        <v>0</v>
      </c>
      <c r="L188" s="7">
        <f>J188*'05 Methodology'!$B$7</f>
        <v>0</v>
      </c>
      <c r="M188" s="7" t="str">
        <f>IF(G188=1,"FLAG / HOLD","INDEXED")</f>
        <v>INDEXED</v>
      </c>
      <c r="N188" s="1" t="str">
        <f>IF(H188=1,"FLAG / HOLD","INDEXED")</f>
        <v>INDEXED</v>
      </c>
      <c r="O188" s="1" t="s">
        <v>18</v>
      </c>
      <c r="P188" s="1" t="s">
        <v>19</v>
      </c>
      <c r="Q188" s="1"/>
      <c r="R188" s="1"/>
      <c r="S188" s="1"/>
      <c r="T188" s="1"/>
      <c r="U188" s="1"/>
    </row>
    <row r="189" spans="1:21" x14ac:dyDescent="0.2">
      <c r="A189" s="7" t="s">
        <v>209</v>
      </c>
      <c r="B189" s="7">
        <v>7</v>
      </c>
      <c r="C189" s="7">
        <v>7</v>
      </c>
      <c r="D189" s="7" t="str">
        <f>IF(B189=C189,"MATCH","MISMATCH")</f>
        <v>MATCH</v>
      </c>
      <c r="E189" s="7">
        <f>IF(F189="None",1,0)</f>
        <v>1</v>
      </c>
      <c r="F189" s="7" t="s">
        <v>17</v>
      </c>
      <c r="G189" s="7">
        <v>0</v>
      </c>
      <c r="H189" s="7">
        <v>0</v>
      </c>
      <c r="I189" s="7">
        <f>IF(AND(E189=0,G189=0),1,0)</f>
        <v>0</v>
      </c>
      <c r="J189" s="7">
        <f>IF(AND(E189=0,H189=0),1,0)</f>
        <v>0</v>
      </c>
      <c r="K189" s="7">
        <f>I189*'05 Methodology'!$B$7</f>
        <v>0</v>
      </c>
      <c r="L189" s="7">
        <f>J189*'05 Methodology'!$B$7</f>
        <v>0</v>
      </c>
      <c r="M189" s="7" t="str">
        <f>IF(G189=1,"FLAG / HOLD","INDEXED")</f>
        <v>INDEXED</v>
      </c>
      <c r="N189" s="1" t="str">
        <f>IF(H189=1,"FLAG / HOLD","INDEXED")</f>
        <v>INDEXED</v>
      </c>
      <c r="O189" s="1" t="s">
        <v>18</v>
      </c>
      <c r="P189" s="1" t="s">
        <v>19</v>
      </c>
      <c r="Q189" s="1"/>
      <c r="R189" s="1"/>
      <c r="S189" s="1"/>
      <c r="T189" s="1"/>
      <c r="U189" s="1"/>
    </row>
    <row r="190" spans="1:21" x14ac:dyDescent="0.2">
      <c r="A190" s="7" t="s">
        <v>210</v>
      </c>
      <c r="B190" s="7">
        <v>6</v>
      </c>
      <c r="C190" s="7">
        <v>6</v>
      </c>
      <c r="D190" s="7" t="str">
        <f>IF(B190=C190,"MATCH","MISMATCH")</f>
        <v>MATCH</v>
      </c>
      <c r="E190" s="7">
        <f>IF(F190="None",1,0)</f>
        <v>1</v>
      </c>
      <c r="F190" s="7" t="s">
        <v>17</v>
      </c>
      <c r="G190" s="7">
        <v>0</v>
      </c>
      <c r="H190" s="7">
        <v>0</v>
      </c>
      <c r="I190" s="7">
        <f>IF(AND(E190=0,G190=0),1,0)</f>
        <v>0</v>
      </c>
      <c r="J190" s="7">
        <f>IF(AND(E190=0,H190=0),1,0)</f>
        <v>0</v>
      </c>
      <c r="K190" s="7">
        <f>I190*'05 Methodology'!$B$7</f>
        <v>0</v>
      </c>
      <c r="L190" s="7">
        <f>J190*'05 Methodology'!$B$7</f>
        <v>0</v>
      </c>
      <c r="M190" s="7" t="str">
        <f>IF(G190=1,"FLAG / HOLD","INDEXED")</f>
        <v>INDEXED</v>
      </c>
      <c r="N190" s="1" t="str">
        <f>IF(H190=1,"FLAG / HOLD","INDEXED")</f>
        <v>INDEXED</v>
      </c>
      <c r="O190" s="1" t="s">
        <v>18</v>
      </c>
      <c r="P190" s="1" t="s">
        <v>19</v>
      </c>
      <c r="Q190" s="1"/>
      <c r="R190" s="1"/>
      <c r="S190" s="1"/>
      <c r="T190" s="1"/>
      <c r="U190" s="1"/>
    </row>
    <row r="191" spans="1:21" x14ac:dyDescent="0.2">
      <c r="A191" s="7" t="s">
        <v>211</v>
      </c>
      <c r="B191" s="7">
        <v>4</v>
      </c>
      <c r="C191" s="7">
        <v>4</v>
      </c>
      <c r="D191" s="7" t="str">
        <f>IF(B191=C191,"MATCH","MISMATCH")</f>
        <v>MATCH</v>
      </c>
      <c r="E191" s="7">
        <f>IF(F191="None",1,0)</f>
        <v>1</v>
      </c>
      <c r="F191" s="7" t="s">
        <v>17</v>
      </c>
      <c r="G191" s="7">
        <v>0</v>
      </c>
      <c r="H191" s="7">
        <v>0</v>
      </c>
      <c r="I191" s="7">
        <f>IF(AND(E191=0,G191=0),1,0)</f>
        <v>0</v>
      </c>
      <c r="J191" s="7">
        <f>IF(AND(E191=0,H191=0),1,0)</f>
        <v>0</v>
      </c>
      <c r="K191" s="7">
        <f>I191*'05 Methodology'!$B$7</f>
        <v>0</v>
      </c>
      <c r="L191" s="7">
        <f>J191*'05 Methodology'!$B$7</f>
        <v>0</v>
      </c>
      <c r="M191" s="7" t="str">
        <f>IF(G191=1,"FLAG / HOLD","INDEXED")</f>
        <v>INDEXED</v>
      </c>
      <c r="N191" s="1" t="str">
        <f>IF(H191=1,"FLAG / HOLD","INDEXED")</f>
        <v>INDEXED</v>
      </c>
      <c r="O191" s="1" t="s">
        <v>18</v>
      </c>
      <c r="P191" s="1" t="s">
        <v>19</v>
      </c>
      <c r="Q191" s="1"/>
      <c r="R191" s="1"/>
      <c r="S191" s="1"/>
      <c r="T191" s="1"/>
      <c r="U191" s="1"/>
    </row>
    <row r="192" spans="1:21" x14ac:dyDescent="0.2">
      <c r="A192" s="7" t="s">
        <v>212</v>
      </c>
      <c r="B192" s="7">
        <v>5</v>
      </c>
      <c r="C192" s="7">
        <v>5</v>
      </c>
      <c r="D192" s="7" t="str">
        <f>IF(B192=C192,"MATCH","MISMATCH")</f>
        <v>MATCH</v>
      </c>
      <c r="E192" s="7">
        <f>IF(F192="None",1,0)</f>
        <v>1</v>
      </c>
      <c r="F192" s="7" t="s">
        <v>17</v>
      </c>
      <c r="G192" s="7">
        <v>0</v>
      </c>
      <c r="H192" s="7">
        <v>0</v>
      </c>
      <c r="I192" s="7">
        <f>IF(AND(E192=0,G192=0),1,0)</f>
        <v>0</v>
      </c>
      <c r="J192" s="7">
        <f>IF(AND(E192=0,H192=0),1,0)</f>
        <v>0</v>
      </c>
      <c r="K192" s="7">
        <f>I192*'05 Methodology'!$B$7</f>
        <v>0</v>
      </c>
      <c r="L192" s="7">
        <f>J192*'05 Methodology'!$B$7</f>
        <v>0</v>
      </c>
      <c r="M192" s="7" t="str">
        <f>IF(G192=1,"FLAG / HOLD","INDEXED")</f>
        <v>INDEXED</v>
      </c>
      <c r="N192" s="1" t="str">
        <f>IF(H192=1,"FLAG / HOLD","INDEXED")</f>
        <v>INDEXED</v>
      </c>
      <c r="O192" s="1" t="s">
        <v>18</v>
      </c>
      <c r="P192" s="1" t="s">
        <v>19</v>
      </c>
      <c r="Q192" s="1"/>
      <c r="R192" s="1"/>
      <c r="S192" s="1"/>
      <c r="T192" s="1"/>
      <c r="U192" s="1"/>
    </row>
    <row r="193" spans="1:21" x14ac:dyDescent="0.2">
      <c r="A193" s="7" t="s">
        <v>213</v>
      </c>
      <c r="B193" s="7">
        <v>6</v>
      </c>
      <c r="C193" s="7">
        <v>6</v>
      </c>
      <c r="D193" s="7" t="str">
        <f>IF(B193=C193,"MATCH","MISMATCH")</f>
        <v>MATCH</v>
      </c>
      <c r="E193" s="7">
        <f>IF(F193="None",1,0)</f>
        <v>1</v>
      </c>
      <c r="F193" s="7" t="s">
        <v>17</v>
      </c>
      <c r="G193" s="7">
        <v>0</v>
      </c>
      <c r="H193" s="7">
        <v>0</v>
      </c>
      <c r="I193" s="7">
        <f>IF(AND(E193=0,G193=0),1,0)</f>
        <v>0</v>
      </c>
      <c r="J193" s="7">
        <f>IF(AND(E193=0,H193=0),1,0)</f>
        <v>0</v>
      </c>
      <c r="K193" s="7">
        <f>I193*'05 Methodology'!$B$7</f>
        <v>0</v>
      </c>
      <c r="L193" s="7">
        <f>J193*'05 Methodology'!$B$7</f>
        <v>0</v>
      </c>
      <c r="M193" s="7" t="str">
        <f>IF(G193=1,"FLAG / HOLD","INDEXED")</f>
        <v>INDEXED</v>
      </c>
      <c r="N193" s="1" t="str">
        <f>IF(H193=1,"FLAG / HOLD","INDEXED")</f>
        <v>INDEXED</v>
      </c>
      <c r="O193" s="1" t="s">
        <v>18</v>
      </c>
      <c r="P193" s="1" t="s">
        <v>19</v>
      </c>
      <c r="Q193" s="1"/>
      <c r="R193" s="1"/>
      <c r="S193" s="1"/>
      <c r="T193" s="1"/>
      <c r="U193" s="1"/>
    </row>
    <row r="194" spans="1:21" x14ac:dyDescent="0.2">
      <c r="A194" s="7" t="s">
        <v>214</v>
      </c>
      <c r="B194" s="7">
        <v>7</v>
      </c>
      <c r="C194" s="7">
        <v>7</v>
      </c>
      <c r="D194" s="7" t="str">
        <f>IF(B194=C194,"MATCH","MISMATCH")</f>
        <v>MATCH</v>
      </c>
      <c r="E194" s="7">
        <f>IF(F194="None",1,0)</f>
        <v>1</v>
      </c>
      <c r="F194" s="7" t="s">
        <v>17</v>
      </c>
      <c r="G194" s="7">
        <v>0</v>
      </c>
      <c r="H194" s="7">
        <v>0</v>
      </c>
      <c r="I194" s="7">
        <f>IF(AND(E194=0,G194=0),1,0)</f>
        <v>0</v>
      </c>
      <c r="J194" s="7">
        <f>IF(AND(E194=0,H194=0),1,0)</f>
        <v>0</v>
      </c>
      <c r="K194" s="7">
        <f>I194*'05 Methodology'!$B$7</f>
        <v>0</v>
      </c>
      <c r="L194" s="7">
        <f>J194*'05 Methodology'!$B$7</f>
        <v>0</v>
      </c>
      <c r="M194" s="7" t="str">
        <f>IF(G194=1,"FLAG / HOLD","INDEXED")</f>
        <v>INDEXED</v>
      </c>
      <c r="N194" s="1" t="str">
        <f>IF(H194=1,"FLAG / HOLD","INDEXED")</f>
        <v>INDEXED</v>
      </c>
      <c r="O194" s="1" t="s">
        <v>18</v>
      </c>
      <c r="P194" s="1" t="s">
        <v>19</v>
      </c>
      <c r="Q194" s="1"/>
      <c r="R194" s="1"/>
      <c r="S194" s="1"/>
      <c r="T194" s="1"/>
      <c r="U194" s="1"/>
    </row>
    <row r="195" spans="1:21" x14ac:dyDescent="0.2">
      <c r="A195" s="7" t="s">
        <v>215</v>
      </c>
      <c r="B195" s="7">
        <v>8</v>
      </c>
      <c r="C195" s="7">
        <v>8</v>
      </c>
      <c r="D195" s="7" t="str">
        <f>IF(B195=C195,"MATCH","MISMATCH")</f>
        <v>MATCH</v>
      </c>
      <c r="E195" s="7">
        <f>IF(F195="None",1,0)</f>
        <v>1</v>
      </c>
      <c r="F195" s="7" t="s">
        <v>17</v>
      </c>
      <c r="G195" s="7">
        <v>0</v>
      </c>
      <c r="H195" s="7">
        <v>0</v>
      </c>
      <c r="I195" s="7">
        <f>IF(AND(E195=0,G195=0),1,0)</f>
        <v>0</v>
      </c>
      <c r="J195" s="7">
        <f>IF(AND(E195=0,H195=0),1,0)</f>
        <v>0</v>
      </c>
      <c r="K195" s="7">
        <f>I195*'05 Methodology'!$B$7</f>
        <v>0</v>
      </c>
      <c r="L195" s="7">
        <f>J195*'05 Methodology'!$B$7</f>
        <v>0</v>
      </c>
      <c r="M195" s="7" t="str">
        <f>IF(G195=1,"FLAG / HOLD","INDEXED")</f>
        <v>INDEXED</v>
      </c>
      <c r="N195" s="1" t="str">
        <f>IF(H195=1,"FLAG / HOLD","INDEXED")</f>
        <v>INDEXED</v>
      </c>
      <c r="O195" s="1" t="s">
        <v>18</v>
      </c>
      <c r="P195" s="1" t="s">
        <v>19</v>
      </c>
      <c r="Q195" s="1"/>
      <c r="R195" s="1"/>
      <c r="S195" s="1"/>
      <c r="T195" s="1"/>
      <c r="U195" s="1"/>
    </row>
    <row r="196" spans="1:21" x14ac:dyDescent="0.2">
      <c r="A196" s="7" t="s">
        <v>216</v>
      </c>
      <c r="B196" s="7">
        <v>4</v>
      </c>
      <c r="C196" s="7">
        <v>4</v>
      </c>
      <c r="D196" s="7" t="str">
        <f>IF(B196=C196,"MATCH","MISMATCH")</f>
        <v>MATCH</v>
      </c>
      <c r="E196" s="7">
        <f>IF(F196="None",1,0)</f>
        <v>1</v>
      </c>
      <c r="F196" s="7" t="s">
        <v>17</v>
      </c>
      <c r="G196" s="7">
        <v>0</v>
      </c>
      <c r="H196" s="7">
        <v>0</v>
      </c>
      <c r="I196" s="7">
        <f>IF(AND(E196=0,G196=0),1,0)</f>
        <v>0</v>
      </c>
      <c r="J196" s="7">
        <f>IF(AND(E196=0,H196=0),1,0)</f>
        <v>0</v>
      </c>
      <c r="K196" s="7">
        <f>I196*'05 Methodology'!$B$7</f>
        <v>0</v>
      </c>
      <c r="L196" s="7">
        <f>J196*'05 Methodology'!$B$7</f>
        <v>0</v>
      </c>
      <c r="M196" s="7" t="str">
        <f>IF(G196=1,"FLAG / HOLD","INDEXED")</f>
        <v>INDEXED</v>
      </c>
      <c r="N196" s="1" t="str">
        <f>IF(H196=1,"FLAG / HOLD","INDEXED")</f>
        <v>INDEXED</v>
      </c>
      <c r="O196" s="1" t="s">
        <v>18</v>
      </c>
      <c r="P196" s="1" t="s">
        <v>19</v>
      </c>
      <c r="Q196" s="1"/>
      <c r="R196" s="1"/>
      <c r="S196" s="1"/>
      <c r="T196" s="1"/>
      <c r="U196" s="1"/>
    </row>
    <row r="197" spans="1:21" x14ac:dyDescent="0.2">
      <c r="A197" s="7" t="s">
        <v>217</v>
      </c>
      <c r="B197" s="7">
        <v>6</v>
      </c>
      <c r="C197" s="7">
        <v>5</v>
      </c>
      <c r="D197" s="7" t="str">
        <f>IF(B197=C197,"MATCH","MISMATCH")</f>
        <v>MISMATCH</v>
      </c>
      <c r="E197" s="7">
        <f>IF(F197="None",1,0)</f>
        <v>0</v>
      </c>
      <c r="F197" s="7" t="s">
        <v>38</v>
      </c>
      <c r="G197" s="7">
        <v>0</v>
      </c>
      <c r="H197" s="7">
        <v>1</v>
      </c>
      <c r="I197" s="7">
        <f>IF(AND(E197=0,G197=0),1,0)</f>
        <v>1</v>
      </c>
      <c r="J197" s="7">
        <f>IF(AND(E197=0,H197=0),1,0)</f>
        <v>0</v>
      </c>
      <c r="K197" s="7">
        <f>I197*'05 Methodology'!$B$7</f>
        <v>20</v>
      </c>
      <c r="L197" s="7">
        <f>J197*'05 Methodology'!$B$7</f>
        <v>0</v>
      </c>
      <c r="M197" s="7" t="str">
        <f>IF(G197=1,"FLAG / HOLD","INDEXED")</f>
        <v>INDEXED</v>
      </c>
      <c r="N197" s="1" t="str">
        <f>IF(H197=1,"FLAG / HOLD","INDEXED")</f>
        <v>FLAG / HOLD</v>
      </c>
      <c r="O197" s="1" t="s">
        <v>18</v>
      </c>
      <c r="P197" s="1" t="s">
        <v>19</v>
      </c>
      <c r="Q197" s="1"/>
      <c r="R197" s="1"/>
      <c r="S197" s="1"/>
      <c r="T197" s="1"/>
      <c r="U197" s="1"/>
    </row>
    <row r="198" spans="1:21" x14ac:dyDescent="0.2">
      <c r="A198" s="7" t="s">
        <v>218</v>
      </c>
      <c r="B198" s="7">
        <v>6</v>
      </c>
      <c r="C198" s="7">
        <v>5</v>
      </c>
      <c r="D198" s="7" t="str">
        <f>IF(B198=C198,"MATCH","MISMATCH")</f>
        <v>MISMATCH</v>
      </c>
      <c r="E198" s="7">
        <f>IF(F198="None",1,0)</f>
        <v>0</v>
      </c>
      <c r="F198" s="7" t="s">
        <v>38</v>
      </c>
      <c r="G198" s="7">
        <v>0</v>
      </c>
      <c r="H198" s="7">
        <v>1</v>
      </c>
      <c r="I198" s="7">
        <f>IF(AND(E198=0,G198=0),1,0)</f>
        <v>1</v>
      </c>
      <c r="J198" s="7">
        <f>IF(AND(E198=0,H198=0),1,0)</f>
        <v>0</v>
      </c>
      <c r="K198" s="7">
        <f>I198*'05 Methodology'!$B$7</f>
        <v>20</v>
      </c>
      <c r="L198" s="7">
        <f>J198*'05 Methodology'!$B$7</f>
        <v>0</v>
      </c>
      <c r="M198" s="7" t="str">
        <f>IF(G198=1,"FLAG / HOLD","INDEXED")</f>
        <v>INDEXED</v>
      </c>
      <c r="N198" s="1" t="str">
        <f>IF(H198=1,"FLAG / HOLD","INDEXED")</f>
        <v>FLAG / HOLD</v>
      </c>
      <c r="O198" s="1" t="s">
        <v>18</v>
      </c>
      <c r="P198" s="1" t="s">
        <v>19</v>
      </c>
      <c r="Q198" s="1"/>
      <c r="R198" s="1"/>
      <c r="S198" s="1"/>
      <c r="T198" s="1"/>
      <c r="U198" s="1"/>
    </row>
    <row r="199" spans="1:21" x14ac:dyDescent="0.2">
      <c r="A199" s="7" t="s">
        <v>219</v>
      </c>
      <c r="B199" s="7">
        <v>7</v>
      </c>
      <c r="C199" s="7">
        <v>6</v>
      </c>
      <c r="D199" s="7" t="str">
        <f>IF(B199=C199,"MATCH","MISMATCH")</f>
        <v>MISMATCH</v>
      </c>
      <c r="E199" s="7">
        <f>IF(F199="None",1,0)</f>
        <v>0</v>
      </c>
      <c r="F199" s="7" t="s">
        <v>38</v>
      </c>
      <c r="G199" s="7">
        <v>0</v>
      </c>
      <c r="H199" s="7">
        <v>1</v>
      </c>
      <c r="I199" s="7">
        <f>IF(AND(E199=0,G199=0),1,0)</f>
        <v>1</v>
      </c>
      <c r="J199" s="7">
        <f>IF(AND(E199=0,H199=0),1,0)</f>
        <v>0</v>
      </c>
      <c r="K199" s="7">
        <f>I199*'05 Methodology'!$B$7</f>
        <v>20</v>
      </c>
      <c r="L199" s="7">
        <f>J199*'05 Methodology'!$B$7</f>
        <v>0</v>
      </c>
      <c r="M199" s="7" t="str">
        <f>IF(G199=1,"FLAG / HOLD","INDEXED")</f>
        <v>INDEXED</v>
      </c>
      <c r="N199" s="1" t="str">
        <f>IF(H199=1,"FLAG / HOLD","INDEXED")</f>
        <v>FLAG / HOLD</v>
      </c>
      <c r="O199" s="1" t="s">
        <v>18</v>
      </c>
      <c r="P199" s="1" t="s">
        <v>19</v>
      </c>
      <c r="Q199" s="1"/>
      <c r="R199" s="1"/>
      <c r="S199" s="1"/>
      <c r="T199" s="1"/>
      <c r="U199" s="1"/>
    </row>
    <row r="200" spans="1:21" x14ac:dyDescent="0.2">
      <c r="A200" s="7" t="s">
        <v>220</v>
      </c>
      <c r="B200" s="7">
        <v>8</v>
      </c>
      <c r="C200" s="7">
        <v>8</v>
      </c>
      <c r="D200" s="7" t="str">
        <f>IF(B200=C200,"MATCH","MISMATCH")</f>
        <v>MATCH</v>
      </c>
      <c r="E200" s="7">
        <f>IF(F200="None",1,0)</f>
        <v>1</v>
      </c>
      <c r="F200" s="7" t="s">
        <v>17</v>
      </c>
      <c r="G200" s="7">
        <v>0</v>
      </c>
      <c r="H200" s="7">
        <v>0</v>
      </c>
      <c r="I200" s="7">
        <f>IF(AND(E200=0,G200=0),1,0)</f>
        <v>0</v>
      </c>
      <c r="J200" s="7">
        <f>IF(AND(E200=0,H200=0),1,0)</f>
        <v>0</v>
      </c>
      <c r="K200" s="7">
        <f>I200*'05 Methodology'!$B$7</f>
        <v>0</v>
      </c>
      <c r="L200" s="7">
        <f>J200*'05 Methodology'!$B$7</f>
        <v>0</v>
      </c>
      <c r="M200" s="7" t="str">
        <f>IF(G200=1,"FLAG / HOLD","INDEXED")</f>
        <v>INDEXED</v>
      </c>
      <c r="N200" s="1" t="str">
        <f>IF(H200=1,"FLAG / HOLD","INDEXED")</f>
        <v>INDEXED</v>
      </c>
      <c r="O200" s="1" t="s">
        <v>18</v>
      </c>
      <c r="P200" s="1" t="s">
        <v>19</v>
      </c>
      <c r="Q200" s="1"/>
      <c r="R200" s="1"/>
      <c r="S200" s="1"/>
      <c r="T200" s="1"/>
      <c r="U200" s="1"/>
    </row>
    <row r="201" spans="1:21" x14ac:dyDescent="0.2">
      <c r="A201" s="7" t="s">
        <v>221</v>
      </c>
      <c r="B201" s="7">
        <v>4</v>
      </c>
      <c r="C201" s="7">
        <v>4</v>
      </c>
      <c r="D201" s="7" t="str">
        <f>IF(B201=C201,"MATCH","MISMATCH")</f>
        <v>MATCH</v>
      </c>
      <c r="E201" s="7">
        <f>IF(F201="None",1,0)</f>
        <v>1</v>
      </c>
      <c r="F201" s="7" t="s">
        <v>17</v>
      </c>
      <c r="G201" s="7">
        <v>0</v>
      </c>
      <c r="H201" s="7">
        <v>0</v>
      </c>
      <c r="I201" s="7">
        <f>IF(AND(E201=0,G201=0),1,0)</f>
        <v>0</v>
      </c>
      <c r="J201" s="7">
        <f>IF(AND(E201=0,H201=0),1,0)</f>
        <v>0</v>
      </c>
      <c r="K201" s="7">
        <f>I201*'05 Methodology'!$B$7</f>
        <v>0</v>
      </c>
      <c r="L201" s="7">
        <f>J201*'05 Methodology'!$B$7</f>
        <v>0</v>
      </c>
      <c r="M201" s="7" t="str">
        <f>IF(G201=1,"FLAG / HOLD","INDEXED")</f>
        <v>INDEXED</v>
      </c>
      <c r="N201" s="1" t="str">
        <f>IF(H201=1,"FLAG / HOLD","INDEXED")</f>
        <v>INDEXED</v>
      </c>
      <c r="O201" s="1" t="s">
        <v>18</v>
      </c>
      <c r="P201" s="1" t="s">
        <v>19</v>
      </c>
      <c r="Q201" s="1"/>
      <c r="R201" s="1"/>
      <c r="S201" s="1"/>
      <c r="T201" s="1"/>
      <c r="U201" s="1"/>
    </row>
    <row r="202" spans="1:21" x14ac:dyDescent="0.2">
      <c r="A202" s="7" t="s">
        <v>222</v>
      </c>
      <c r="B202" s="7">
        <v>5</v>
      </c>
      <c r="C202" s="7">
        <v>5</v>
      </c>
      <c r="D202" s="7" t="str">
        <f>IF(B202=C202,"MATCH","MISMATCH")</f>
        <v>MATCH</v>
      </c>
      <c r="E202" s="7">
        <f>IF(F202="None",1,0)</f>
        <v>1</v>
      </c>
      <c r="F202" s="7" t="s">
        <v>17</v>
      </c>
      <c r="G202" s="7">
        <v>0</v>
      </c>
      <c r="H202" s="7">
        <v>0</v>
      </c>
      <c r="I202" s="7">
        <f>IF(AND(E202=0,G202=0),1,0)</f>
        <v>0</v>
      </c>
      <c r="J202" s="7">
        <f>IF(AND(E202=0,H202=0),1,0)</f>
        <v>0</v>
      </c>
      <c r="K202" s="7">
        <f>I202*'05 Methodology'!$B$7</f>
        <v>0</v>
      </c>
      <c r="L202" s="7">
        <f>J202*'05 Methodology'!$B$7</f>
        <v>0</v>
      </c>
      <c r="M202" s="7" t="str">
        <f>IF(G202=1,"FLAG / HOLD","INDEXED")</f>
        <v>INDEXED</v>
      </c>
      <c r="N202" s="1" t="str">
        <f>IF(H202=1,"FLAG / HOLD","INDEXED")</f>
        <v>INDEXED</v>
      </c>
      <c r="O202" s="1" t="s">
        <v>18</v>
      </c>
      <c r="P202" s="1" t="s">
        <v>19</v>
      </c>
      <c r="Q202" s="1"/>
      <c r="R202" s="1"/>
      <c r="S202" s="1"/>
      <c r="T202" s="1"/>
      <c r="U202" s="1"/>
    </row>
    <row r="203" spans="1:21" x14ac:dyDescent="0.2">
      <c r="A203" s="7" t="s">
        <v>223</v>
      </c>
      <c r="B203" s="7">
        <v>6</v>
      </c>
      <c r="C203" s="7">
        <v>6</v>
      </c>
      <c r="D203" s="7" t="str">
        <f>IF(B203=C203,"MATCH","MISMATCH")</f>
        <v>MATCH</v>
      </c>
      <c r="E203" s="7">
        <f>IF(F203="None",1,0)</f>
        <v>1</v>
      </c>
      <c r="F203" s="7" t="s">
        <v>17</v>
      </c>
      <c r="G203" s="7">
        <v>0</v>
      </c>
      <c r="H203" s="7">
        <v>0</v>
      </c>
      <c r="I203" s="7">
        <f>IF(AND(E203=0,G203=0),1,0)</f>
        <v>0</v>
      </c>
      <c r="J203" s="7">
        <f>IF(AND(E203=0,H203=0),1,0)</f>
        <v>0</v>
      </c>
      <c r="K203" s="7">
        <f>I203*'05 Methodology'!$B$7</f>
        <v>0</v>
      </c>
      <c r="L203" s="7">
        <f>J203*'05 Methodology'!$B$7</f>
        <v>0</v>
      </c>
      <c r="M203" s="7" t="str">
        <f>IF(G203=1,"FLAG / HOLD","INDEXED")</f>
        <v>INDEXED</v>
      </c>
      <c r="N203" s="1" t="str">
        <f>IF(H203=1,"FLAG / HOLD","INDEXED")</f>
        <v>INDEXED</v>
      </c>
      <c r="O203" s="1" t="s">
        <v>18</v>
      </c>
      <c r="P203" s="1" t="s">
        <v>19</v>
      </c>
      <c r="Q203" s="1"/>
      <c r="R203" s="1"/>
      <c r="S203" s="1"/>
      <c r="T203" s="1"/>
      <c r="U203" s="1"/>
    </row>
    <row r="204" spans="1:21" x14ac:dyDescent="0.2">
      <c r="A204" s="7" t="s">
        <v>224</v>
      </c>
      <c r="B204" s="7">
        <v>6</v>
      </c>
      <c r="C204" s="7">
        <v>6</v>
      </c>
      <c r="D204" s="7" t="str">
        <f>IF(B204=C204,"MATCH","MISMATCH")</f>
        <v>MATCH</v>
      </c>
      <c r="E204" s="7">
        <f>IF(F204="None",1,0)</f>
        <v>1</v>
      </c>
      <c r="F204" s="7" t="s">
        <v>17</v>
      </c>
      <c r="G204" s="7">
        <v>0</v>
      </c>
      <c r="H204" s="7">
        <v>0</v>
      </c>
      <c r="I204" s="7">
        <f>IF(AND(E204=0,G204=0),1,0)</f>
        <v>0</v>
      </c>
      <c r="J204" s="7">
        <f>IF(AND(E204=0,H204=0),1,0)</f>
        <v>0</v>
      </c>
      <c r="K204" s="7">
        <f>I204*'05 Methodology'!$B$7</f>
        <v>0</v>
      </c>
      <c r="L204" s="7">
        <f>J204*'05 Methodology'!$B$7</f>
        <v>0</v>
      </c>
      <c r="M204" s="7" t="str">
        <f>IF(G204=1,"FLAG / HOLD","INDEXED")</f>
        <v>INDEXED</v>
      </c>
      <c r="N204" s="1" t="str">
        <f>IF(H204=1,"FLAG / HOLD","INDEXED")</f>
        <v>INDEXED</v>
      </c>
      <c r="O204" s="1" t="s">
        <v>18</v>
      </c>
      <c r="P204" s="1" t="s">
        <v>19</v>
      </c>
      <c r="Q204" s="1"/>
      <c r="R204" s="1"/>
      <c r="S204" s="1"/>
      <c r="T204" s="1"/>
      <c r="U204" s="1"/>
    </row>
    <row r="205" spans="1:21" x14ac:dyDescent="0.2">
      <c r="A205" s="7" t="s">
        <v>225</v>
      </c>
      <c r="B205" s="7">
        <v>8</v>
      </c>
      <c r="C205" s="7">
        <v>8</v>
      </c>
      <c r="D205" s="7" t="str">
        <f>IF(B205=C205,"MATCH","MISMATCH")</f>
        <v>MATCH</v>
      </c>
      <c r="E205" s="7">
        <f>IF(F205="None",1,0)</f>
        <v>1</v>
      </c>
      <c r="F205" s="7" t="s">
        <v>17</v>
      </c>
      <c r="G205" s="7">
        <v>0</v>
      </c>
      <c r="H205" s="7">
        <v>0</v>
      </c>
      <c r="I205" s="7">
        <f>IF(AND(E205=0,G205=0),1,0)</f>
        <v>0</v>
      </c>
      <c r="J205" s="7">
        <f>IF(AND(E205=0,H205=0),1,0)</f>
        <v>0</v>
      </c>
      <c r="K205" s="7">
        <f>I205*'05 Methodology'!$B$7</f>
        <v>0</v>
      </c>
      <c r="L205" s="7">
        <f>J205*'05 Methodology'!$B$7</f>
        <v>0</v>
      </c>
      <c r="M205" s="7" t="str">
        <f>IF(G205=1,"FLAG / HOLD","INDEXED")</f>
        <v>INDEXED</v>
      </c>
      <c r="N205" s="1" t="str">
        <f>IF(H205=1,"FLAG / HOLD","INDEXED")</f>
        <v>INDEXED</v>
      </c>
      <c r="O205" s="1" t="s">
        <v>18</v>
      </c>
      <c r="P205" s="1" t="s">
        <v>19</v>
      </c>
      <c r="Q205" s="1"/>
      <c r="R205" s="1"/>
      <c r="S205" s="1"/>
      <c r="T205" s="1"/>
      <c r="U205" s="1"/>
    </row>
    <row r="206" spans="1:21" x14ac:dyDescent="0.2">
      <c r="A206" s="7" t="s">
        <v>226</v>
      </c>
      <c r="B206" s="7">
        <v>4</v>
      </c>
      <c r="C206" s="7">
        <v>4</v>
      </c>
      <c r="D206" s="7" t="str">
        <f>IF(B206=C206,"MATCH","MISMATCH")</f>
        <v>MATCH</v>
      </c>
      <c r="E206" s="7">
        <f>IF(F206="None",1,0)</f>
        <v>1</v>
      </c>
      <c r="F206" s="7" t="s">
        <v>17</v>
      </c>
      <c r="G206" s="7">
        <v>0</v>
      </c>
      <c r="H206" s="7">
        <v>0</v>
      </c>
      <c r="I206" s="7">
        <f>IF(AND(E206=0,G206=0),1,0)</f>
        <v>0</v>
      </c>
      <c r="J206" s="7">
        <f>IF(AND(E206=0,H206=0),1,0)</f>
        <v>0</v>
      </c>
      <c r="K206" s="7">
        <f>I206*'05 Methodology'!$B$7</f>
        <v>0</v>
      </c>
      <c r="L206" s="7">
        <f>J206*'05 Methodology'!$B$7</f>
        <v>0</v>
      </c>
      <c r="M206" s="7" t="str">
        <f>IF(G206=1,"FLAG / HOLD","INDEXED")</f>
        <v>INDEXED</v>
      </c>
      <c r="N206" s="1" t="str">
        <f>IF(H206=1,"FLAG / HOLD","INDEXED")</f>
        <v>INDEXED</v>
      </c>
      <c r="O206" s="1" t="s">
        <v>18</v>
      </c>
      <c r="P206" s="1" t="s">
        <v>19</v>
      </c>
      <c r="Q206" s="1"/>
      <c r="R206" s="1"/>
      <c r="S206" s="1"/>
      <c r="T206" s="1"/>
      <c r="U206" s="1"/>
    </row>
    <row r="207" spans="1:21" x14ac:dyDescent="0.2">
      <c r="A207" s="7" t="s">
        <v>227</v>
      </c>
      <c r="B207" s="7">
        <v>5</v>
      </c>
      <c r="C207" s="7">
        <v>5</v>
      </c>
      <c r="D207" s="7" t="str">
        <f>IF(B207=C207,"MATCH","MISMATCH")</f>
        <v>MATCH</v>
      </c>
      <c r="E207" s="7">
        <f>IF(F207="None",1,0)</f>
        <v>1</v>
      </c>
      <c r="F207" s="7" t="s">
        <v>17</v>
      </c>
      <c r="G207" s="7">
        <v>0</v>
      </c>
      <c r="H207" s="7">
        <v>0</v>
      </c>
      <c r="I207" s="7">
        <f>IF(AND(E207=0,G207=0),1,0)</f>
        <v>0</v>
      </c>
      <c r="J207" s="7">
        <f>IF(AND(E207=0,H207=0),1,0)</f>
        <v>0</v>
      </c>
      <c r="K207" s="7">
        <f>I207*'05 Methodology'!$B$7</f>
        <v>0</v>
      </c>
      <c r="L207" s="7">
        <f>J207*'05 Methodology'!$B$7</f>
        <v>0</v>
      </c>
      <c r="M207" s="7" t="str">
        <f>IF(G207=1,"FLAG / HOLD","INDEXED")</f>
        <v>INDEXED</v>
      </c>
      <c r="N207" s="1" t="str">
        <f>IF(H207=1,"FLAG / HOLD","INDEXED")</f>
        <v>INDEXED</v>
      </c>
      <c r="O207" s="1" t="s">
        <v>18</v>
      </c>
      <c r="P207" s="1" t="s">
        <v>19</v>
      </c>
      <c r="Q207" s="1"/>
      <c r="R207" s="1"/>
      <c r="S207" s="1"/>
      <c r="T207" s="1"/>
      <c r="U207" s="1"/>
    </row>
    <row r="208" spans="1:21" x14ac:dyDescent="0.2">
      <c r="A208" s="7" t="s">
        <v>228</v>
      </c>
      <c r="B208" s="7">
        <v>6</v>
      </c>
      <c r="C208" s="7">
        <v>6</v>
      </c>
      <c r="D208" s="7" t="str">
        <f>IF(B208=C208,"MATCH","MISMATCH")</f>
        <v>MATCH</v>
      </c>
      <c r="E208" s="7">
        <f>IF(F208="None",1,0)</f>
        <v>1</v>
      </c>
      <c r="F208" s="7" t="s">
        <v>17</v>
      </c>
      <c r="G208" s="7">
        <v>0</v>
      </c>
      <c r="H208" s="7">
        <v>0</v>
      </c>
      <c r="I208" s="7">
        <f>IF(AND(E208=0,G208=0),1,0)</f>
        <v>0</v>
      </c>
      <c r="J208" s="7">
        <f>IF(AND(E208=0,H208=0),1,0)</f>
        <v>0</v>
      </c>
      <c r="K208" s="7">
        <f>I208*'05 Methodology'!$B$7</f>
        <v>0</v>
      </c>
      <c r="L208" s="7">
        <f>J208*'05 Methodology'!$B$7</f>
        <v>0</v>
      </c>
      <c r="M208" s="7" t="str">
        <f>IF(G208=1,"FLAG / HOLD","INDEXED")</f>
        <v>INDEXED</v>
      </c>
      <c r="N208" s="1" t="str">
        <f>IF(H208=1,"FLAG / HOLD","INDEXED")</f>
        <v>INDEXED</v>
      </c>
      <c r="O208" s="1" t="s">
        <v>18</v>
      </c>
      <c r="P208" s="1" t="s">
        <v>19</v>
      </c>
      <c r="Q208" s="1"/>
      <c r="R208" s="1"/>
      <c r="S208" s="1"/>
      <c r="T208" s="1"/>
      <c r="U208" s="1"/>
    </row>
    <row r="209" spans="1:21" x14ac:dyDescent="0.2">
      <c r="A209" s="7" t="s">
        <v>229</v>
      </c>
      <c r="B209" s="7">
        <v>7</v>
      </c>
      <c r="C209" s="7">
        <v>7</v>
      </c>
      <c r="D209" s="7" t="str">
        <f>IF(B209=C209,"MATCH","MISMATCH")</f>
        <v>MATCH</v>
      </c>
      <c r="E209" s="7">
        <f>IF(F209="None",1,0)</f>
        <v>1</v>
      </c>
      <c r="F209" s="7" t="s">
        <v>17</v>
      </c>
      <c r="G209" s="7">
        <v>0</v>
      </c>
      <c r="H209" s="7">
        <v>0</v>
      </c>
      <c r="I209" s="7">
        <f>IF(AND(E209=0,G209=0),1,0)</f>
        <v>0</v>
      </c>
      <c r="J209" s="7">
        <f>IF(AND(E209=0,H209=0),1,0)</f>
        <v>0</v>
      </c>
      <c r="K209" s="7">
        <f>I209*'05 Methodology'!$B$7</f>
        <v>0</v>
      </c>
      <c r="L209" s="7">
        <f>J209*'05 Methodology'!$B$7</f>
        <v>0</v>
      </c>
      <c r="M209" s="7" t="str">
        <f>IF(G209=1,"FLAG / HOLD","INDEXED")</f>
        <v>INDEXED</v>
      </c>
      <c r="N209" s="1" t="str">
        <f>IF(H209=1,"FLAG / HOLD","INDEXED")</f>
        <v>INDEXED</v>
      </c>
      <c r="O209" s="1" t="s">
        <v>18</v>
      </c>
      <c r="P209" s="1" t="s">
        <v>19</v>
      </c>
      <c r="Q209" s="1"/>
      <c r="R209" s="1"/>
      <c r="S209" s="1"/>
      <c r="T209" s="1"/>
      <c r="U209" s="1"/>
    </row>
    <row r="210" spans="1:21" x14ac:dyDescent="0.2">
      <c r="A210" s="7" t="s">
        <v>230</v>
      </c>
      <c r="B210" s="7">
        <v>8</v>
      </c>
      <c r="C210" s="7">
        <v>8</v>
      </c>
      <c r="D210" s="7" t="str">
        <f>IF(B210=C210,"MATCH","MISMATCH")</f>
        <v>MATCH</v>
      </c>
      <c r="E210" s="7">
        <f>IF(F210="None",1,0)</f>
        <v>1</v>
      </c>
      <c r="F210" s="7" t="s">
        <v>17</v>
      </c>
      <c r="G210" s="7">
        <v>0</v>
      </c>
      <c r="H210" s="7">
        <v>0</v>
      </c>
      <c r="I210" s="7">
        <f>IF(AND(E210=0,G210=0),1,0)</f>
        <v>0</v>
      </c>
      <c r="J210" s="7">
        <f>IF(AND(E210=0,H210=0),1,0)</f>
        <v>0</v>
      </c>
      <c r="K210" s="7">
        <f>I210*'05 Methodology'!$B$7</f>
        <v>0</v>
      </c>
      <c r="L210" s="7">
        <f>J210*'05 Methodology'!$B$7</f>
        <v>0</v>
      </c>
      <c r="M210" s="7" t="str">
        <f>IF(G210=1,"FLAG / HOLD","INDEXED")</f>
        <v>INDEXED</v>
      </c>
      <c r="N210" s="1" t="str">
        <f>IF(H210=1,"FLAG / HOLD","INDEXED")</f>
        <v>INDEXED</v>
      </c>
      <c r="O210" s="1" t="s">
        <v>18</v>
      </c>
      <c r="P210" s="1" t="s">
        <v>19</v>
      </c>
      <c r="Q210" s="1"/>
      <c r="R210" s="1"/>
      <c r="S210" s="1"/>
      <c r="T210" s="1"/>
      <c r="U210" s="1"/>
    </row>
    <row r="211" spans="1:21" x14ac:dyDescent="0.2">
      <c r="A211" s="7" t="s">
        <v>231</v>
      </c>
      <c r="B211" s="7">
        <v>6</v>
      </c>
      <c r="C211" s="7">
        <v>6</v>
      </c>
      <c r="D211" s="7" t="str">
        <f>IF(B211=C211,"MATCH","MISMATCH")</f>
        <v>MATCH</v>
      </c>
      <c r="E211" s="7">
        <f>IF(F211="None",1,0)</f>
        <v>1</v>
      </c>
      <c r="F211" s="7" t="s">
        <v>17</v>
      </c>
      <c r="G211" s="7">
        <v>0</v>
      </c>
      <c r="H211" s="7">
        <v>0</v>
      </c>
      <c r="I211" s="7">
        <f>IF(AND(E211=0,G211=0),1,0)</f>
        <v>0</v>
      </c>
      <c r="J211" s="7">
        <f>IF(AND(E211=0,H211=0),1,0)</f>
        <v>0</v>
      </c>
      <c r="K211" s="7">
        <f>I211*'05 Methodology'!$B$7</f>
        <v>0</v>
      </c>
      <c r="L211" s="7">
        <f>J211*'05 Methodology'!$B$7</f>
        <v>0</v>
      </c>
      <c r="M211" s="7" t="str">
        <f>IF(G211=1,"FLAG / HOLD","INDEXED")</f>
        <v>INDEXED</v>
      </c>
      <c r="N211" s="1" t="str">
        <f>IF(H211=1,"FLAG / HOLD","INDEXED")</f>
        <v>INDEXED</v>
      </c>
      <c r="O211" s="1" t="s">
        <v>18</v>
      </c>
      <c r="P211" s="1" t="s">
        <v>19</v>
      </c>
      <c r="Q211" s="1"/>
      <c r="R211" s="1"/>
      <c r="S211" s="1"/>
      <c r="T211" s="1"/>
      <c r="U211" s="1"/>
    </row>
    <row r="212" spans="1:21" x14ac:dyDescent="0.2">
      <c r="A212" s="7" t="s">
        <v>232</v>
      </c>
      <c r="B212" s="7">
        <v>5</v>
      </c>
      <c r="C212" s="7">
        <v>5</v>
      </c>
      <c r="D212" s="7" t="str">
        <f>IF(B212=C212,"MATCH","MISMATCH")</f>
        <v>MATCH</v>
      </c>
      <c r="E212" s="7">
        <f>IF(F212="None",1,0)</f>
        <v>1</v>
      </c>
      <c r="F212" s="7" t="s">
        <v>17</v>
      </c>
      <c r="G212" s="7">
        <v>0</v>
      </c>
      <c r="H212" s="7">
        <v>0</v>
      </c>
      <c r="I212" s="7">
        <f>IF(AND(E212=0,G212=0),1,0)</f>
        <v>0</v>
      </c>
      <c r="J212" s="7">
        <f>IF(AND(E212=0,H212=0),1,0)</f>
        <v>0</v>
      </c>
      <c r="K212" s="7">
        <f>I212*'05 Methodology'!$B$7</f>
        <v>0</v>
      </c>
      <c r="L212" s="7">
        <f>J212*'05 Methodology'!$B$7</f>
        <v>0</v>
      </c>
      <c r="M212" s="7" t="str">
        <f>IF(G212=1,"FLAG / HOLD","INDEXED")</f>
        <v>INDEXED</v>
      </c>
      <c r="N212" s="1" t="str">
        <f>IF(H212=1,"FLAG / HOLD","INDEXED")</f>
        <v>INDEXED</v>
      </c>
      <c r="O212" s="1" t="s">
        <v>18</v>
      </c>
      <c r="P212" s="1" t="s">
        <v>19</v>
      </c>
      <c r="Q212" s="1"/>
      <c r="R212" s="1"/>
      <c r="S212" s="1"/>
      <c r="T212" s="1"/>
      <c r="U212" s="1"/>
    </row>
    <row r="213" spans="1:21" x14ac:dyDescent="0.2">
      <c r="A213" s="7" t="s">
        <v>233</v>
      </c>
      <c r="B213" s="7">
        <v>6</v>
      </c>
      <c r="C213" s="7">
        <v>6</v>
      </c>
      <c r="D213" s="7" t="str">
        <f>IF(B213=C213,"MATCH","MISMATCH")</f>
        <v>MATCH</v>
      </c>
      <c r="E213" s="7">
        <f>IF(F213="None",1,0)</f>
        <v>1</v>
      </c>
      <c r="F213" s="7" t="s">
        <v>17</v>
      </c>
      <c r="G213" s="7">
        <v>0</v>
      </c>
      <c r="H213" s="7">
        <v>0</v>
      </c>
      <c r="I213" s="7">
        <f>IF(AND(E213=0,G213=0),1,0)</f>
        <v>0</v>
      </c>
      <c r="J213" s="7">
        <f>IF(AND(E213=0,H213=0),1,0)</f>
        <v>0</v>
      </c>
      <c r="K213" s="7">
        <f>I213*'05 Methodology'!$B$7</f>
        <v>0</v>
      </c>
      <c r="L213" s="7">
        <f>J213*'05 Methodology'!$B$7</f>
        <v>0</v>
      </c>
      <c r="M213" s="7" t="str">
        <f>IF(G213=1,"FLAG / HOLD","INDEXED")</f>
        <v>INDEXED</v>
      </c>
      <c r="N213" s="1" t="str">
        <f>IF(H213=1,"FLAG / HOLD","INDEXED")</f>
        <v>INDEXED</v>
      </c>
      <c r="O213" s="1" t="s">
        <v>18</v>
      </c>
      <c r="P213" s="1" t="s">
        <v>19</v>
      </c>
      <c r="Q213" s="1"/>
      <c r="R213" s="1"/>
      <c r="S213" s="1"/>
      <c r="T213" s="1"/>
      <c r="U213" s="1"/>
    </row>
    <row r="214" spans="1:21" x14ac:dyDescent="0.2">
      <c r="A214" s="7" t="s">
        <v>234</v>
      </c>
      <c r="B214" s="7">
        <v>7</v>
      </c>
      <c r="C214" s="7">
        <v>7</v>
      </c>
      <c r="D214" s="7" t="str">
        <f>IF(B214=C214,"MATCH","MISMATCH")</f>
        <v>MATCH</v>
      </c>
      <c r="E214" s="7">
        <f>IF(F214="None",1,0)</f>
        <v>1</v>
      </c>
      <c r="F214" s="7" t="s">
        <v>17</v>
      </c>
      <c r="G214" s="7">
        <v>0</v>
      </c>
      <c r="H214" s="7">
        <v>0</v>
      </c>
      <c r="I214" s="7">
        <f>IF(AND(E214=0,G214=0),1,0)</f>
        <v>0</v>
      </c>
      <c r="J214" s="7">
        <f>IF(AND(E214=0,H214=0),1,0)</f>
        <v>0</v>
      </c>
      <c r="K214" s="7">
        <f>I214*'05 Methodology'!$B$7</f>
        <v>0</v>
      </c>
      <c r="L214" s="7">
        <f>J214*'05 Methodology'!$B$7</f>
        <v>0</v>
      </c>
      <c r="M214" s="7" t="str">
        <f>IF(G214=1,"FLAG / HOLD","INDEXED")</f>
        <v>INDEXED</v>
      </c>
      <c r="N214" s="1" t="str">
        <f>IF(H214=1,"FLAG / HOLD","INDEXED")</f>
        <v>INDEXED</v>
      </c>
      <c r="O214" s="1" t="s">
        <v>18</v>
      </c>
      <c r="P214" s="1" t="s">
        <v>19</v>
      </c>
      <c r="Q214" s="1"/>
      <c r="R214" s="1"/>
      <c r="S214" s="1"/>
      <c r="T214" s="1"/>
      <c r="U214" s="1"/>
    </row>
    <row r="215" spans="1:21" x14ac:dyDescent="0.2">
      <c r="A215" s="7" t="s">
        <v>235</v>
      </c>
      <c r="B215" s="7">
        <v>8</v>
      </c>
      <c r="C215" s="7">
        <v>8</v>
      </c>
      <c r="D215" s="7" t="str">
        <f>IF(B215=C215,"MATCH","MISMATCH")</f>
        <v>MATCH</v>
      </c>
      <c r="E215" s="7">
        <f>IF(F215="None",1,0)</f>
        <v>1</v>
      </c>
      <c r="F215" s="7" t="s">
        <v>17</v>
      </c>
      <c r="G215" s="7">
        <v>0</v>
      </c>
      <c r="H215" s="7">
        <v>0</v>
      </c>
      <c r="I215" s="7">
        <f>IF(AND(E215=0,G215=0),1,0)</f>
        <v>0</v>
      </c>
      <c r="J215" s="7">
        <f>IF(AND(E215=0,H215=0),1,0)</f>
        <v>0</v>
      </c>
      <c r="K215" s="7">
        <f>I215*'05 Methodology'!$B$7</f>
        <v>0</v>
      </c>
      <c r="L215" s="7">
        <f>J215*'05 Methodology'!$B$7</f>
        <v>0</v>
      </c>
      <c r="M215" s="7" t="str">
        <f>IF(G215=1,"FLAG / HOLD","INDEXED")</f>
        <v>INDEXED</v>
      </c>
      <c r="N215" s="1" t="str">
        <f>IF(H215=1,"FLAG / HOLD","INDEXED")</f>
        <v>INDEXED</v>
      </c>
      <c r="O215" s="1" t="s">
        <v>18</v>
      </c>
      <c r="P215" s="1" t="s">
        <v>19</v>
      </c>
      <c r="Q215" s="1"/>
      <c r="R215" s="1"/>
      <c r="S215" s="1"/>
      <c r="T215" s="1"/>
      <c r="U215" s="1"/>
    </row>
    <row r="216" spans="1:21" x14ac:dyDescent="0.2">
      <c r="A216" s="7" t="s">
        <v>236</v>
      </c>
      <c r="B216" s="7">
        <v>4</v>
      </c>
      <c r="C216" s="7">
        <v>4</v>
      </c>
      <c r="D216" s="7" t="str">
        <f>IF(B216=C216,"MATCH","MISMATCH")</f>
        <v>MATCH</v>
      </c>
      <c r="E216" s="7">
        <f>IF(F216="None",1,0)</f>
        <v>1</v>
      </c>
      <c r="F216" s="7" t="s">
        <v>17</v>
      </c>
      <c r="G216" s="7">
        <v>0</v>
      </c>
      <c r="H216" s="7">
        <v>0</v>
      </c>
      <c r="I216" s="7">
        <f>IF(AND(E216=0,G216=0),1,0)</f>
        <v>0</v>
      </c>
      <c r="J216" s="7">
        <f>IF(AND(E216=0,H216=0),1,0)</f>
        <v>0</v>
      </c>
      <c r="K216" s="7">
        <f>I216*'05 Methodology'!$B$7</f>
        <v>0</v>
      </c>
      <c r="L216" s="7">
        <f>J216*'05 Methodology'!$B$7</f>
        <v>0</v>
      </c>
      <c r="M216" s="7" t="str">
        <f>IF(G216=1,"FLAG / HOLD","INDEXED")</f>
        <v>INDEXED</v>
      </c>
      <c r="N216" s="1" t="str">
        <f>IF(H216=1,"FLAG / HOLD","INDEXED")</f>
        <v>INDEXED</v>
      </c>
      <c r="O216" s="1" t="s">
        <v>18</v>
      </c>
      <c r="P216" s="1" t="s">
        <v>19</v>
      </c>
      <c r="Q216" s="1"/>
      <c r="R216" s="1"/>
      <c r="S216" s="1"/>
      <c r="T216" s="1"/>
      <c r="U216" s="1"/>
    </row>
    <row r="217" spans="1:21" x14ac:dyDescent="0.2">
      <c r="A217" s="7" t="s">
        <v>237</v>
      </c>
      <c r="B217" s="7">
        <v>5</v>
      </c>
      <c r="C217" s="7">
        <v>5</v>
      </c>
      <c r="D217" s="7" t="str">
        <f>IF(B217=C217,"MATCH","MISMATCH")</f>
        <v>MATCH</v>
      </c>
      <c r="E217" s="7">
        <f>IF(F217="None",1,0)</f>
        <v>1</v>
      </c>
      <c r="F217" s="7" t="s">
        <v>17</v>
      </c>
      <c r="G217" s="7">
        <v>0</v>
      </c>
      <c r="H217" s="7">
        <v>0</v>
      </c>
      <c r="I217" s="7">
        <f>IF(AND(E217=0,G217=0),1,0)</f>
        <v>0</v>
      </c>
      <c r="J217" s="7">
        <f>IF(AND(E217=0,H217=0),1,0)</f>
        <v>0</v>
      </c>
      <c r="K217" s="7">
        <f>I217*'05 Methodology'!$B$7</f>
        <v>0</v>
      </c>
      <c r="L217" s="7">
        <f>J217*'05 Methodology'!$B$7</f>
        <v>0</v>
      </c>
      <c r="M217" s="7" t="str">
        <f>IF(G217=1,"FLAG / HOLD","INDEXED")</f>
        <v>INDEXED</v>
      </c>
      <c r="N217" s="1" t="str">
        <f>IF(H217=1,"FLAG / HOLD","INDEXED")</f>
        <v>INDEXED</v>
      </c>
      <c r="O217" s="1" t="s">
        <v>18</v>
      </c>
      <c r="P217" s="1" t="s">
        <v>19</v>
      </c>
      <c r="Q217" s="1"/>
      <c r="R217" s="1"/>
      <c r="S217" s="1"/>
      <c r="T217" s="1"/>
      <c r="U217" s="1"/>
    </row>
    <row r="218" spans="1:21" x14ac:dyDescent="0.2">
      <c r="A218" s="7" t="s">
        <v>238</v>
      </c>
      <c r="B218" s="7">
        <v>6</v>
      </c>
      <c r="C218" s="7">
        <v>6</v>
      </c>
      <c r="D218" s="7" t="str">
        <f>IF(B218=C218,"MATCH","MISMATCH")</f>
        <v>MATCH</v>
      </c>
      <c r="E218" s="7">
        <f>IF(F218="None",1,0)</f>
        <v>1</v>
      </c>
      <c r="F218" s="7" t="s">
        <v>17</v>
      </c>
      <c r="G218" s="7">
        <v>0</v>
      </c>
      <c r="H218" s="7">
        <v>0</v>
      </c>
      <c r="I218" s="7">
        <f>IF(AND(E218=0,G218=0),1,0)</f>
        <v>0</v>
      </c>
      <c r="J218" s="7">
        <f>IF(AND(E218=0,H218=0),1,0)</f>
        <v>0</v>
      </c>
      <c r="K218" s="7">
        <f>I218*'05 Methodology'!$B$7</f>
        <v>0</v>
      </c>
      <c r="L218" s="7">
        <f>J218*'05 Methodology'!$B$7</f>
        <v>0</v>
      </c>
      <c r="M218" s="7" t="str">
        <f>IF(G218=1,"FLAG / HOLD","INDEXED")</f>
        <v>INDEXED</v>
      </c>
      <c r="N218" s="1" t="str">
        <f>IF(H218=1,"FLAG / HOLD","INDEXED")</f>
        <v>INDEXED</v>
      </c>
      <c r="O218" s="1" t="s">
        <v>18</v>
      </c>
      <c r="P218" s="1" t="s">
        <v>19</v>
      </c>
      <c r="Q218" s="1"/>
      <c r="R218" s="1"/>
      <c r="S218" s="1"/>
      <c r="T218" s="1"/>
      <c r="U218" s="1"/>
    </row>
    <row r="219" spans="1:21" x14ac:dyDescent="0.2">
      <c r="A219" s="7" t="s">
        <v>239</v>
      </c>
      <c r="B219" s="7">
        <v>7</v>
      </c>
      <c r="C219" s="7">
        <v>7</v>
      </c>
      <c r="D219" s="7" t="str">
        <f>IF(B219=C219,"MATCH","MISMATCH")</f>
        <v>MATCH</v>
      </c>
      <c r="E219" s="7">
        <f>IF(F219="None",1,0)</f>
        <v>1</v>
      </c>
      <c r="F219" s="7" t="s">
        <v>17</v>
      </c>
      <c r="G219" s="7">
        <v>0</v>
      </c>
      <c r="H219" s="7">
        <v>0</v>
      </c>
      <c r="I219" s="7">
        <f>IF(AND(E219=0,G219=0),1,0)</f>
        <v>0</v>
      </c>
      <c r="J219" s="7">
        <f>IF(AND(E219=0,H219=0),1,0)</f>
        <v>0</v>
      </c>
      <c r="K219" s="7">
        <f>I219*'05 Methodology'!$B$7</f>
        <v>0</v>
      </c>
      <c r="L219" s="7">
        <f>J219*'05 Methodology'!$B$7</f>
        <v>0</v>
      </c>
      <c r="M219" s="7" t="str">
        <f>IF(G219=1,"FLAG / HOLD","INDEXED")</f>
        <v>INDEXED</v>
      </c>
      <c r="N219" s="1" t="str">
        <f>IF(H219=1,"FLAG / HOLD","INDEXED")</f>
        <v>INDEXED</v>
      </c>
      <c r="O219" s="1" t="s">
        <v>18</v>
      </c>
      <c r="P219" s="1" t="s">
        <v>19</v>
      </c>
      <c r="Q219" s="1"/>
      <c r="R219" s="1"/>
      <c r="S219" s="1"/>
      <c r="T219" s="1"/>
      <c r="U219" s="1"/>
    </row>
    <row r="220" spans="1:21" x14ac:dyDescent="0.2">
      <c r="A220" s="7" t="s">
        <v>240</v>
      </c>
      <c r="B220" s="7">
        <v>8</v>
      </c>
      <c r="C220" s="7">
        <v>8</v>
      </c>
      <c r="D220" s="7" t="str">
        <f>IF(B220=C220,"MATCH","MISMATCH")</f>
        <v>MATCH</v>
      </c>
      <c r="E220" s="7">
        <f>IF(F220="None",1,0)</f>
        <v>1</v>
      </c>
      <c r="F220" s="7" t="s">
        <v>17</v>
      </c>
      <c r="G220" s="7">
        <v>0</v>
      </c>
      <c r="H220" s="7">
        <v>0</v>
      </c>
      <c r="I220" s="7">
        <f>IF(AND(E220=0,G220=0),1,0)</f>
        <v>0</v>
      </c>
      <c r="J220" s="7">
        <f>IF(AND(E220=0,H220=0),1,0)</f>
        <v>0</v>
      </c>
      <c r="K220" s="7">
        <f>I220*'05 Methodology'!$B$7</f>
        <v>0</v>
      </c>
      <c r="L220" s="7">
        <f>J220*'05 Methodology'!$B$7</f>
        <v>0</v>
      </c>
      <c r="M220" s="7" t="str">
        <f>IF(G220=1,"FLAG / HOLD","INDEXED")</f>
        <v>INDEXED</v>
      </c>
      <c r="N220" s="1" t="str">
        <f>IF(H220=1,"FLAG / HOLD","INDEXED")</f>
        <v>INDEXED</v>
      </c>
      <c r="O220" s="1" t="s">
        <v>18</v>
      </c>
      <c r="P220" s="1" t="s">
        <v>19</v>
      </c>
      <c r="Q220" s="1"/>
      <c r="R220" s="1"/>
      <c r="S220" s="1"/>
      <c r="T220" s="1"/>
      <c r="U220" s="1"/>
    </row>
    <row r="221" spans="1:21" x14ac:dyDescent="0.2">
      <c r="A221" s="7" t="s">
        <v>241</v>
      </c>
      <c r="B221" s="7">
        <v>4</v>
      </c>
      <c r="C221" s="7">
        <v>4</v>
      </c>
      <c r="D221" s="7" t="str">
        <f>IF(B221=C221,"MATCH","MISMATCH")</f>
        <v>MATCH</v>
      </c>
      <c r="E221" s="7">
        <f>IF(F221="None",1,0)</f>
        <v>1</v>
      </c>
      <c r="F221" s="7" t="s">
        <v>17</v>
      </c>
      <c r="G221" s="7">
        <v>0</v>
      </c>
      <c r="H221" s="7">
        <v>0</v>
      </c>
      <c r="I221" s="7">
        <f>IF(AND(E221=0,G221=0),1,0)</f>
        <v>0</v>
      </c>
      <c r="J221" s="7">
        <f>IF(AND(E221=0,H221=0),1,0)</f>
        <v>0</v>
      </c>
      <c r="K221" s="7">
        <f>I221*'05 Methodology'!$B$7</f>
        <v>0</v>
      </c>
      <c r="L221" s="7">
        <f>J221*'05 Methodology'!$B$7</f>
        <v>0</v>
      </c>
      <c r="M221" s="7" t="str">
        <f>IF(G221=1,"FLAG / HOLD","INDEXED")</f>
        <v>INDEXED</v>
      </c>
      <c r="N221" s="1" t="str">
        <f>IF(H221=1,"FLAG / HOLD","INDEXED")</f>
        <v>INDEXED</v>
      </c>
      <c r="O221" s="1" t="s">
        <v>18</v>
      </c>
      <c r="P221" s="1" t="s">
        <v>19</v>
      </c>
      <c r="Q221" s="1"/>
      <c r="R221" s="1"/>
      <c r="S221" s="1"/>
      <c r="T221" s="1"/>
      <c r="U221" s="1"/>
    </row>
    <row r="222" spans="1:21" x14ac:dyDescent="0.2">
      <c r="A222" s="7" t="s">
        <v>242</v>
      </c>
      <c r="B222" s="7">
        <v>5</v>
      </c>
      <c r="C222" s="7">
        <v>5</v>
      </c>
      <c r="D222" s="7" t="str">
        <f>IF(B222=C222,"MATCH","MISMATCH")</f>
        <v>MATCH</v>
      </c>
      <c r="E222" s="7">
        <f>IF(F222="None",1,0)</f>
        <v>1</v>
      </c>
      <c r="F222" s="7" t="s">
        <v>17</v>
      </c>
      <c r="G222" s="7">
        <v>0</v>
      </c>
      <c r="H222" s="7">
        <v>0</v>
      </c>
      <c r="I222" s="7">
        <f>IF(AND(E222=0,G222=0),1,0)</f>
        <v>0</v>
      </c>
      <c r="J222" s="7">
        <f>IF(AND(E222=0,H222=0),1,0)</f>
        <v>0</v>
      </c>
      <c r="K222" s="7">
        <f>I222*'05 Methodology'!$B$7</f>
        <v>0</v>
      </c>
      <c r="L222" s="7">
        <f>J222*'05 Methodology'!$B$7</f>
        <v>0</v>
      </c>
      <c r="M222" s="7" t="str">
        <f>IF(G222=1,"FLAG / HOLD","INDEXED")</f>
        <v>INDEXED</v>
      </c>
      <c r="N222" s="1" t="str">
        <f>IF(H222=1,"FLAG / HOLD","INDEXED")</f>
        <v>INDEXED</v>
      </c>
      <c r="O222" s="1" t="s">
        <v>18</v>
      </c>
      <c r="P222" s="1" t="s">
        <v>19</v>
      </c>
      <c r="Q222" s="1"/>
      <c r="R222" s="1"/>
      <c r="S222" s="1"/>
      <c r="T222" s="1"/>
      <c r="U222" s="1"/>
    </row>
    <row r="223" spans="1:21" x14ac:dyDescent="0.2">
      <c r="A223" s="7" t="s">
        <v>243</v>
      </c>
      <c r="B223" s="7">
        <v>6</v>
      </c>
      <c r="C223" s="7">
        <v>5</v>
      </c>
      <c r="D223" s="7" t="str">
        <f>IF(B223=C223,"MATCH","MISMATCH")</f>
        <v>MISMATCH</v>
      </c>
      <c r="E223" s="7">
        <f>IF(F223="None",1,0)</f>
        <v>0</v>
      </c>
      <c r="F223" s="7" t="s">
        <v>38</v>
      </c>
      <c r="G223" s="7">
        <v>1</v>
      </c>
      <c r="H223" s="7">
        <v>1</v>
      </c>
      <c r="I223" s="7">
        <f>IF(AND(E223=0,G223=0),1,0)</f>
        <v>0</v>
      </c>
      <c r="J223" s="7">
        <f>IF(AND(E223=0,H223=0),1,0)</f>
        <v>0</v>
      </c>
      <c r="K223" s="7">
        <f>I223*'05 Methodology'!$B$7</f>
        <v>0</v>
      </c>
      <c r="L223" s="7">
        <f>J223*'05 Methodology'!$B$7</f>
        <v>0</v>
      </c>
      <c r="M223" s="7" t="str">
        <f>IF(G223=1,"FLAG / HOLD","INDEXED")</f>
        <v>FLAG / HOLD</v>
      </c>
      <c r="N223" s="1" t="str">
        <f>IF(H223=1,"FLAG / HOLD","INDEXED")</f>
        <v>FLAG / HOLD</v>
      </c>
      <c r="O223" s="1" t="s">
        <v>18</v>
      </c>
      <c r="P223" s="1" t="s">
        <v>19</v>
      </c>
      <c r="Q223" s="1"/>
      <c r="R223" s="1"/>
      <c r="S223" s="1"/>
      <c r="T223" s="1"/>
      <c r="U223" s="1"/>
    </row>
    <row r="224" spans="1:21" x14ac:dyDescent="0.2">
      <c r="A224" s="7" t="s">
        <v>244</v>
      </c>
      <c r="B224" s="7">
        <v>7</v>
      </c>
      <c r="C224" s="7">
        <v>7</v>
      </c>
      <c r="D224" s="7" t="str">
        <f>IF(B224=C224,"MATCH","MISMATCH")</f>
        <v>MATCH</v>
      </c>
      <c r="E224" s="7">
        <f>IF(F224="None",1,0)</f>
        <v>1</v>
      </c>
      <c r="F224" s="7" t="s">
        <v>17</v>
      </c>
      <c r="G224" s="7">
        <v>0</v>
      </c>
      <c r="H224" s="7">
        <v>0</v>
      </c>
      <c r="I224" s="7">
        <f>IF(AND(E224=0,G224=0),1,0)</f>
        <v>0</v>
      </c>
      <c r="J224" s="7">
        <f>IF(AND(E224=0,H224=0),1,0)</f>
        <v>0</v>
      </c>
      <c r="K224" s="7">
        <f>I224*'05 Methodology'!$B$7</f>
        <v>0</v>
      </c>
      <c r="L224" s="7">
        <f>J224*'05 Methodology'!$B$7</f>
        <v>0</v>
      </c>
      <c r="M224" s="7" t="str">
        <f>IF(G224=1,"FLAG / HOLD","INDEXED")</f>
        <v>INDEXED</v>
      </c>
      <c r="N224" s="1" t="str">
        <f>IF(H224=1,"FLAG / HOLD","INDEXED")</f>
        <v>INDEXED</v>
      </c>
      <c r="O224" s="1" t="s">
        <v>18</v>
      </c>
      <c r="P224" s="1" t="s">
        <v>19</v>
      </c>
      <c r="Q224" s="1"/>
      <c r="R224" s="1"/>
      <c r="S224" s="1"/>
      <c r="T224" s="1"/>
      <c r="U224" s="1"/>
    </row>
    <row r="225" spans="1:21" x14ac:dyDescent="0.2">
      <c r="A225" s="7" t="s">
        <v>245</v>
      </c>
      <c r="B225" s="7">
        <v>6</v>
      </c>
      <c r="C225" s="7">
        <v>6</v>
      </c>
      <c r="D225" s="7" t="str">
        <f>IF(B225=C225,"MATCH","MISMATCH")</f>
        <v>MATCH</v>
      </c>
      <c r="E225" s="7">
        <f>IF(F225="None",1,0)</f>
        <v>1</v>
      </c>
      <c r="F225" s="7" t="s">
        <v>17</v>
      </c>
      <c r="G225" s="7">
        <v>0</v>
      </c>
      <c r="H225" s="7">
        <v>0</v>
      </c>
      <c r="I225" s="7">
        <f>IF(AND(E225=0,G225=0),1,0)</f>
        <v>0</v>
      </c>
      <c r="J225" s="7">
        <f>IF(AND(E225=0,H225=0),1,0)</f>
        <v>0</v>
      </c>
      <c r="K225" s="7">
        <f>I225*'05 Methodology'!$B$7</f>
        <v>0</v>
      </c>
      <c r="L225" s="7">
        <f>J225*'05 Methodology'!$B$7</f>
        <v>0</v>
      </c>
      <c r="M225" s="7" t="str">
        <f>IF(G225=1,"FLAG / HOLD","INDEXED")</f>
        <v>INDEXED</v>
      </c>
      <c r="N225" s="1" t="str">
        <f>IF(H225=1,"FLAG / HOLD","INDEXED")</f>
        <v>INDEXED</v>
      </c>
      <c r="O225" s="1" t="s">
        <v>18</v>
      </c>
      <c r="P225" s="1" t="s">
        <v>19</v>
      </c>
      <c r="Q225" s="1"/>
      <c r="R225" s="1"/>
      <c r="S225" s="1"/>
      <c r="T225" s="1"/>
      <c r="U225" s="1"/>
    </row>
    <row r="226" spans="1:21" x14ac:dyDescent="0.2">
      <c r="A226" s="7" t="s">
        <v>246</v>
      </c>
      <c r="B226" s="7">
        <v>4</v>
      </c>
      <c r="C226" s="7">
        <v>4</v>
      </c>
      <c r="D226" s="7" t="str">
        <f>IF(B226=C226,"MATCH","MISMATCH")</f>
        <v>MATCH</v>
      </c>
      <c r="E226" s="7">
        <f>IF(F226="None",1,0)</f>
        <v>0</v>
      </c>
      <c r="F226" s="7" t="s">
        <v>24</v>
      </c>
      <c r="G226" s="7">
        <v>1</v>
      </c>
      <c r="H226" s="7">
        <v>1</v>
      </c>
      <c r="I226" s="7">
        <f>IF(AND(E226=0,G226=0),1,0)</f>
        <v>0</v>
      </c>
      <c r="J226" s="7">
        <f>IF(AND(E226=0,H226=0),1,0)</f>
        <v>0</v>
      </c>
      <c r="K226" s="7">
        <f>I226*'05 Methodology'!$B$7</f>
        <v>0</v>
      </c>
      <c r="L226" s="7">
        <f>J226*'05 Methodology'!$B$7</f>
        <v>0</v>
      </c>
      <c r="M226" s="7" t="str">
        <f>IF(G226=1,"FLAG / HOLD","INDEXED")</f>
        <v>FLAG / HOLD</v>
      </c>
      <c r="N226" s="1" t="str">
        <f>IF(H226=1,"FLAG / HOLD","INDEXED")</f>
        <v>FLAG / HOLD</v>
      </c>
      <c r="O226" s="1" t="s">
        <v>18</v>
      </c>
      <c r="P226" s="1" t="s">
        <v>25</v>
      </c>
      <c r="Q226" s="1"/>
      <c r="R226" s="1"/>
      <c r="S226" s="1"/>
      <c r="T226" s="1"/>
      <c r="U226" s="1"/>
    </row>
    <row r="227" spans="1:21" x14ac:dyDescent="0.2">
      <c r="A227" s="7" t="s">
        <v>247</v>
      </c>
      <c r="B227" s="7">
        <v>5</v>
      </c>
      <c r="C227" s="7">
        <v>5</v>
      </c>
      <c r="D227" s="7" t="str">
        <f>IF(B227=C227,"MATCH","MISMATCH")</f>
        <v>MATCH</v>
      </c>
      <c r="E227" s="7">
        <f>IF(F227="None",1,0)</f>
        <v>1</v>
      </c>
      <c r="F227" s="7" t="s">
        <v>17</v>
      </c>
      <c r="G227" s="7">
        <v>0</v>
      </c>
      <c r="H227" s="7">
        <v>0</v>
      </c>
      <c r="I227" s="7">
        <f>IF(AND(E227=0,G227=0),1,0)</f>
        <v>0</v>
      </c>
      <c r="J227" s="7">
        <f>IF(AND(E227=0,H227=0),1,0)</f>
        <v>0</v>
      </c>
      <c r="K227" s="7">
        <f>I227*'05 Methodology'!$B$7</f>
        <v>0</v>
      </c>
      <c r="L227" s="7">
        <f>J227*'05 Methodology'!$B$7</f>
        <v>0</v>
      </c>
      <c r="M227" s="7" t="str">
        <f>IF(G227=1,"FLAG / HOLD","INDEXED")</f>
        <v>INDEXED</v>
      </c>
      <c r="N227" s="1" t="str">
        <f>IF(H227=1,"FLAG / HOLD","INDEXED")</f>
        <v>INDEXED</v>
      </c>
      <c r="O227" s="1" t="s">
        <v>18</v>
      </c>
      <c r="P227" s="1" t="s">
        <v>19</v>
      </c>
      <c r="Q227" s="1"/>
      <c r="R227" s="1"/>
      <c r="S227" s="1"/>
      <c r="T227" s="1"/>
      <c r="U227" s="1"/>
    </row>
    <row r="228" spans="1:21" x14ac:dyDescent="0.2">
      <c r="A228" s="7" t="s">
        <v>248</v>
      </c>
      <c r="B228" s="7">
        <v>6</v>
      </c>
      <c r="C228" s="7">
        <v>6</v>
      </c>
      <c r="D228" s="7" t="str">
        <f>IF(B228=C228,"MATCH","MISMATCH")</f>
        <v>MATCH</v>
      </c>
      <c r="E228" s="7">
        <f>IF(F228="None",1,0)</f>
        <v>1</v>
      </c>
      <c r="F228" s="7" t="s">
        <v>17</v>
      </c>
      <c r="G228" s="7">
        <v>0</v>
      </c>
      <c r="H228" s="7">
        <v>0</v>
      </c>
      <c r="I228" s="7">
        <f>IF(AND(E228=0,G228=0),1,0)</f>
        <v>0</v>
      </c>
      <c r="J228" s="7">
        <f>IF(AND(E228=0,H228=0),1,0)</f>
        <v>0</v>
      </c>
      <c r="K228" s="7">
        <f>I228*'05 Methodology'!$B$7</f>
        <v>0</v>
      </c>
      <c r="L228" s="7">
        <f>J228*'05 Methodology'!$B$7</f>
        <v>0</v>
      </c>
      <c r="M228" s="7" t="str">
        <f>IF(G228=1,"FLAG / HOLD","INDEXED")</f>
        <v>INDEXED</v>
      </c>
      <c r="N228" s="1" t="str">
        <f>IF(H228=1,"FLAG / HOLD","INDEXED")</f>
        <v>INDEXED</v>
      </c>
      <c r="O228" s="1" t="s">
        <v>18</v>
      </c>
      <c r="P228" s="1" t="s">
        <v>19</v>
      </c>
      <c r="Q228" s="1"/>
      <c r="R228" s="1"/>
      <c r="S228" s="1"/>
      <c r="T228" s="1"/>
      <c r="U228" s="1"/>
    </row>
    <row r="229" spans="1:21" x14ac:dyDescent="0.2">
      <c r="A229" s="7" t="s">
        <v>249</v>
      </c>
      <c r="B229" s="7">
        <v>7</v>
      </c>
      <c r="C229" s="7">
        <v>7</v>
      </c>
      <c r="D229" s="7" t="str">
        <f>IF(B229=C229,"MATCH","MISMATCH")</f>
        <v>MATCH</v>
      </c>
      <c r="E229" s="7">
        <f>IF(F229="None",1,0)</f>
        <v>1</v>
      </c>
      <c r="F229" s="7" t="s">
        <v>17</v>
      </c>
      <c r="G229" s="7">
        <v>0</v>
      </c>
      <c r="H229" s="7">
        <v>0</v>
      </c>
      <c r="I229" s="7">
        <f>IF(AND(E229=0,G229=0),1,0)</f>
        <v>0</v>
      </c>
      <c r="J229" s="7">
        <f>IF(AND(E229=0,H229=0),1,0)</f>
        <v>0</v>
      </c>
      <c r="K229" s="7">
        <f>I229*'05 Methodology'!$B$7</f>
        <v>0</v>
      </c>
      <c r="L229" s="7">
        <f>J229*'05 Methodology'!$B$7</f>
        <v>0</v>
      </c>
      <c r="M229" s="7" t="str">
        <f>IF(G229=1,"FLAG / HOLD","INDEXED")</f>
        <v>INDEXED</v>
      </c>
      <c r="N229" s="1" t="str">
        <f>IF(H229=1,"FLAG / HOLD","INDEXED")</f>
        <v>INDEXED</v>
      </c>
      <c r="O229" s="1" t="s">
        <v>18</v>
      </c>
      <c r="P229" s="1" t="s">
        <v>19</v>
      </c>
      <c r="Q229" s="1"/>
      <c r="R229" s="1"/>
      <c r="S229" s="1"/>
      <c r="T229" s="1"/>
      <c r="U229" s="1"/>
    </row>
    <row r="230" spans="1:21" x14ac:dyDescent="0.2">
      <c r="A230" s="7" t="s">
        <v>250</v>
      </c>
      <c r="B230" s="7">
        <v>8</v>
      </c>
      <c r="C230" s="7">
        <v>8</v>
      </c>
      <c r="D230" s="7" t="str">
        <f>IF(B230=C230,"MATCH","MISMATCH")</f>
        <v>MATCH</v>
      </c>
      <c r="E230" s="7">
        <f>IF(F230="None",1,0)</f>
        <v>1</v>
      </c>
      <c r="F230" s="7" t="s">
        <v>17</v>
      </c>
      <c r="G230" s="7">
        <v>0</v>
      </c>
      <c r="H230" s="7">
        <v>0</v>
      </c>
      <c r="I230" s="7">
        <f>IF(AND(E230=0,G230=0),1,0)</f>
        <v>0</v>
      </c>
      <c r="J230" s="7">
        <f>IF(AND(E230=0,H230=0),1,0)</f>
        <v>0</v>
      </c>
      <c r="K230" s="7">
        <f>I230*'05 Methodology'!$B$7</f>
        <v>0</v>
      </c>
      <c r="L230" s="7">
        <f>J230*'05 Methodology'!$B$7</f>
        <v>0</v>
      </c>
      <c r="M230" s="7" t="str">
        <f>IF(G230=1,"FLAG / HOLD","INDEXED")</f>
        <v>INDEXED</v>
      </c>
      <c r="N230" s="1" t="str">
        <f>IF(H230=1,"FLAG / HOLD","INDEXED")</f>
        <v>INDEXED</v>
      </c>
      <c r="O230" s="1" t="s">
        <v>18</v>
      </c>
      <c r="P230" s="1" t="s">
        <v>19</v>
      </c>
      <c r="Q230" s="1"/>
      <c r="R230" s="1"/>
      <c r="S230" s="1"/>
      <c r="T230" s="1"/>
      <c r="U230" s="1"/>
    </row>
    <row r="231" spans="1:21" x14ac:dyDescent="0.2">
      <c r="A231" s="7" t="s">
        <v>251</v>
      </c>
      <c r="B231" s="7">
        <v>4</v>
      </c>
      <c r="C231" s="7">
        <v>4</v>
      </c>
      <c r="D231" s="7" t="str">
        <f>IF(B231=C231,"MATCH","MISMATCH")</f>
        <v>MATCH</v>
      </c>
      <c r="E231" s="7">
        <f>IF(F231="None",1,0)</f>
        <v>1</v>
      </c>
      <c r="F231" s="7" t="s">
        <v>17</v>
      </c>
      <c r="G231" s="7">
        <v>0</v>
      </c>
      <c r="H231" s="7">
        <v>0</v>
      </c>
      <c r="I231" s="7">
        <f>IF(AND(E231=0,G231=0),1,0)</f>
        <v>0</v>
      </c>
      <c r="J231" s="7">
        <f>IF(AND(E231=0,H231=0),1,0)</f>
        <v>0</v>
      </c>
      <c r="K231" s="7">
        <f>I231*'05 Methodology'!$B$7</f>
        <v>0</v>
      </c>
      <c r="L231" s="7">
        <f>J231*'05 Methodology'!$B$7</f>
        <v>0</v>
      </c>
      <c r="M231" s="7" t="str">
        <f>IF(G231=1,"FLAG / HOLD","INDEXED")</f>
        <v>INDEXED</v>
      </c>
      <c r="N231" s="1" t="str">
        <f>IF(H231=1,"FLAG / HOLD","INDEXED")</f>
        <v>INDEXED</v>
      </c>
      <c r="O231" s="1" t="s">
        <v>18</v>
      </c>
      <c r="P231" s="1" t="s">
        <v>19</v>
      </c>
      <c r="Q231" s="1"/>
      <c r="R231" s="1"/>
      <c r="S231" s="1"/>
      <c r="T231" s="1"/>
      <c r="U231" s="1"/>
    </row>
    <row r="232" spans="1:21" x14ac:dyDescent="0.2">
      <c r="A232" s="7" t="s">
        <v>252</v>
      </c>
      <c r="B232" s="7">
        <v>6</v>
      </c>
      <c r="C232" s="7">
        <v>6</v>
      </c>
      <c r="D232" s="7" t="str">
        <f>IF(B232=C232,"MATCH","MISMATCH")</f>
        <v>MATCH</v>
      </c>
      <c r="E232" s="7">
        <f>IF(F232="None",1,0)</f>
        <v>1</v>
      </c>
      <c r="F232" s="7" t="s">
        <v>17</v>
      </c>
      <c r="G232" s="7">
        <v>0</v>
      </c>
      <c r="H232" s="7">
        <v>0</v>
      </c>
      <c r="I232" s="7">
        <f>IF(AND(E232=0,G232=0),1,0)</f>
        <v>0</v>
      </c>
      <c r="J232" s="7">
        <f>IF(AND(E232=0,H232=0),1,0)</f>
        <v>0</v>
      </c>
      <c r="K232" s="7">
        <f>I232*'05 Methodology'!$B$7</f>
        <v>0</v>
      </c>
      <c r="L232" s="7">
        <f>J232*'05 Methodology'!$B$7</f>
        <v>0</v>
      </c>
      <c r="M232" s="7" t="str">
        <f>IF(G232=1,"FLAG / HOLD","INDEXED")</f>
        <v>INDEXED</v>
      </c>
      <c r="N232" s="1" t="str">
        <f>IF(H232=1,"FLAG / HOLD","INDEXED")</f>
        <v>INDEXED</v>
      </c>
      <c r="O232" s="1" t="s">
        <v>18</v>
      </c>
      <c r="P232" s="1" t="s">
        <v>19</v>
      </c>
      <c r="Q232" s="1"/>
      <c r="R232" s="1"/>
      <c r="S232" s="1"/>
      <c r="T232" s="1"/>
      <c r="U232" s="1"/>
    </row>
    <row r="233" spans="1:21" x14ac:dyDescent="0.2">
      <c r="A233" s="7" t="s">
        <v>253</v>
      </c>
      <c r="B233" s="7">
        <v>6</v>
      </c>
      <c r="C233" s="7">
        <v>6</v>
      </c>
      <c r="D233" s="7" t="str">
        <f>IF(B233=C233,"MATCH","MISMATCH")</f>
        <v>MATCH</v>
      </c>
      <c r="E233" s="7">
        <f>IF(F233="None",1,0)</f>
        <v>1</v>
      </c>
      <c r="F233" s="7" t="s">
        <v>17</v>
      </c>
      <c r="G233" s="7">
        <v>0</v>
      </c>
      <c r="H233" s="7">
        <v>0</v>
      </c>
      <c r="I233" s="7">
        <f>IF(AND(E233=0,G233=0),1,0)</f>
        <v>0</v>
      </c>
      <c r="J233" s="7">
        <f>IF(AND(E233=0,H233=0),1,0)</f>
        <v>0</v>
      </c>
      <c r="K233" s="7">
        <f>I233*'05 Methodology'!$B$7</f>
        <v>0</v>
      </c>
      <c r="L233" s="7">
        <f>J233*'05 Methodology'!$B$7</f>
        <v>0</v>
      </c>
      <c r="M233" s="7" t="str">
        <f>IF(G233=1,"FLAG / HOLD","INDEXED")</f>
        <v>INDEXED</v>
      </c>
      <c r="N233" s="1" t="str">
        <f>IF(H233=1,"FLAG / HOLD","INDEXED")</f>
        <v>INDEXED</v>
      </c>
      <c r="O233" s="1" t="s">
        <v>18</v>
      </c>
      <c r="P233" s="1" t="s">
        <v>19</v>
      </c>
      <c r="Q233" s="1"/>
      <c r="R233" s="1"/>
      <c r="S233" s="1"/>
      <c r="T233" s="1"/>
      <c r="U233" s="1"/>
    </row>
    <row r="234" spans="1:21" x14ac:dyDescent="0.2">
      <c r="A234" s="7" t="s">
        <v>254</v>
      </c>
      <c r="B234" s="7">
        <v>7</v>
      </c>
      <c r="C234" s="7">
        <v>7</v>
      </c>
      <c r="D234" s="7" t="str">
        <f>IF(B234=C234,"MATCH","MISMATCH")</f>
        <v>MATCH</v>
      </c>
      <c r="E234" s="7">
        <f>IF(F234="None",1,0)</f>
        <v>1</v>
      </c>
      <c r="F234" s="7" t="s">
        <v>17</v>
      </c>
      <c r="G234" s="7">
        <v>0</v>
      </c>
      <c r="H234" s="7">
        <v>0</v>
      </c>
      <c r="I234" s="7">
        <f>IF(AND(E234=0,G234=0),1,0)</f>
        <v>0</v>
      </c>
      <c r="J234" s="7">
        <f>IF(AND(E234=0,H234=0),1,0)</f>
        <v>0</v>
      </c>
      <c r="K234" s="7">
        <f>I234*'05 Methodology'!$B$7</f>
        <v>0</v>
      </c>
      <c r="L234" s="7">
        <f>J234*'05 Methodology'!$B$7</f>
        <v>0</v>
      </c>
      <c r="M234" s="7" t="str">
        <f>IF(G234=1,"FLAG / HOLD","INDEXED")</f>
        <v>INDEXED</v>
      </c>
      <c r="N234" s="1" t="str">
        <f>IF(H234=1,"FLAG / HOLD","INDEXED")</f>
        <v>INDEXED</v>
      </c>
      <c r="O234" s="1" t="s">
        <v>18</v>
      </c>
      <c r="P234" s="1" t="s">
        <v>19</v>
      </c>
      <c r="Q234" s="1"/>
      <c r="R234" s="1"/>
      <c r="S234" s="1"/>
      <c r="T234" s="1"/>
      <c r="U234" s="1"/>
    </row>
    <row r="235" spans="1:21" x14ac:dyDescent="0.2">
      <c r="A235" s="7" t="s">
        <v>255</v>
      </c>
      <c r="B235" s="7">
        <v>8</v>
      </c>
      <c r="C235" s="7">
        <v>8</v>
      </c>
      <c r="D235" s="7" t="str">
        <f>IF(B235=C235,"MATCH","MISMATCH")</f>
        <v>MATCH</v>
      </c>
      <c r="E235" s="7">
        <f>IF(F235="None",1,0)</f>
        <v>1</v>
      </c>
      <c r="F235" s="7" t="s">
        <v>17</v>
      </c>
      <c r="G235" s="7">
        <v>0</v>
      </c>
      <c r="H235" s="7">
        <v>0</v>
      </c>
      <c r="I235" s="7">
        <f>IF(AND(E235=0,G235=0),1,0)</f>
        <v>0</v>
      </c>
      <c r="J235" s="7">
        <f>IF(AND(E235=0,H235=0),1,0)</f>
        <v>0</v>
      </c>
      <c r="K235" s="7">
        <f>I235*'05 Methodology'!$B$7</f>
        <v>0</v>
      </c>
      <c r="L235" s="7">
        <f>J235*'05 Methodology'!$B$7</f>
        <v>0</v>
      </c>
      <c r="M235" s="7" t="str">
        <f>IF(G235=1,"FLAG / HOLD","INDEXED")</f>
        <v>INDEXED</v>
      </c>
      <c r="N235" s="1" t="str">
        <f>IF(H235=1,"FLAG / HOLD","INDEXED")</f>
        <v>INDEXED</v>
      </c>
      <c r="O235" s="1" t="s">
        <v>18</v>
      </c>
      <c r="P235" s="1" t="s">
        <v>19</v>
      </c>
      <c r="Q235" s="1"/>
      <c r="R235" s="1"/>
      <c r="S235" s="1"/>
      <c r="T235" s="1"/>
      <c r="U235" s="1"/>
    </row>
    <row r="236" spans="1:21" x14ac:dyDescent="0.2">
      <c r="A236" s="7" t="s">
        <v>256</v>
      </c>
      <c r="B236" s="7">
        <v>4</v>
      </c>
      <c r="C236" s="7">
        <v>4</v>
      </c>
      <c r="D236" s="7" t="str">
        <f>IF(B236=C236,"MATCH","MISMATCH")</f>
        <v>MATCH</v>
      </c>
      <c r="E236" s="7">
        <f>IF(F236="None",1,0)</f>
        <v>1</v>
      </c>
      <c r="F236" s="7" t="s">
        <v>17</v>
      </c>
      <c r="G236" s="7">
        <v>0</v>
      </c>
      <c r="H236" s="7">
        <v>0</v>
      </c>
      <c r="I236" s="7">
        <f>IF(AND(E236=0,G236=0),1,0)</f>
        <v>0</v>
      </c>
      <c r="J236" s="7">
        <f>IF(AND(E236=0,H236=0),1,0)</f>
        <v>0</v>
      </c>
      <c r="K236" s="7">
        <f>I236*'05 Methodology'!$B$7</f>
        <v>0</v>
      </c>
      <c r="L236" s="7">
        <f>J236*'05 Methodology'!$B$7</f>
        <v>0</v>
      </c>
      <c r="M236" s="7" t="str">
        <f>IF(G236=1,"FLAG / HOLD","INDEXED")</f>
        <v>INDEXED</v>
      </c>
      <c r="N236" s="1" t="str">
        <f>IF(H236=1,"FLAG / HOLD","INDEXED")</f>
        <v>INDEXED</v>
      </c>
      <c r="O236" s="1" t="s">
        <v>18</v>
      </c>
      <c r="P236" s="1" t="s">
        <v>19</v>
      </c>
      <c r="Q236" s="1"/>
      <c r="R236" s="1"/>
      <c r="S236" s="1"/>
      <c r="T236" s="1"/>
      <c r="U236" s="1"/>
    </row>
    <row r="237" spans="1:21" x14ac:dyDescent="0.2">
      <c r="A237" s="7" t="s">
        <v>257</v>
      </c>
      <c r="B237" s="7">
        <v>5</v>
      </c>
      <c r="C237" s="7">
        <v>5</v>
      </c>
      <c r="D237" s="7" t="str">
        <f>IF(B237=C237,"MATCH","MISMATCH")</f>
        <v>MATCH</v>
      </c>
      <c r="E237" s="7">
        <f>IF(F237="None",1,0)</f>
        <v>1</v>
      </c>
      <c r="F237" s="7" t="s">
        <v>17</v>
      </c>
      <c r="G237" s="7">
        <v>0</v>
      </c>
      <c r="H237" s="7">
        <v>0</v>
      </c>
      <c r="I237" s="7">
        <f>IF(AND(E237=0,G237=0),1,0)</f>
        <v>0</v>
      </c>
      <c r="J237" s="7">
        <f>IF(AND(E237=0,H237=0),1,0)</f>
        <v>0</v>
      </c>
      <c r="K237" s="7">
        <f>I237*'05 Methodology'!$B$7</f>
        <v>0</v>
      </c>
      <c r="L237" s="7">
        <f>J237*'05 Methodology'!$B$7</f>
        <v>0</v>
      </c>
      <c r="M237" s="7" t="str">
        <f>IF(G237=1,"FLAG / HOLD","INDEXED")</f>
        <v>INDEXED</v>
      </c>
      <c r="N237" s="1" t="str">
        <f>IF(H237=1,"FLAG / HOLD","INDEXED")</f>
        <v>INDEXED</v>
      </c>
      <c r="O237" s="1" t="s">
        <v>18</v>
      </c>
      <c r="P237" s="1" t="s">
        <v>19</v>
      </c>
      <c r="Q237" s="1"/>
      <c r="R237" s="1"/>
      <c r="S237" s="1"/>
      <c r="T237" s="1"/>
      <c r="U237" s="1"/>
    </row>
    <row r="238" spans="1:21" x14ac:dyDescent="0.2">
      <c r="A238" s="7" t="s">
        <v>258</v>
      </c>
      <c r="B238" s="7">
        <v>6</v>
      </c>
      <c r="C238" s="7">
        <v>6</v>
      </c>
      <c r="D238" s="7" t="str">
        <f>IF(B238=C238,"MATCH","MISMATCH")</f>
        <v>MATCH</v>
      </c>
      <c r="E238" s="7">
        <f>IF(F238="None",1,0)</f>
        <v>1</v>
      </c>
      <c r="F238" s="7" t="s">
        <v>17</v>
      </c>
      <c r="G238" s="7">
        <v>0</v>
      </c>
      <c r="H238" s="7">
        <v>0</v>
      </c>
      <c r="I238" s="7">
        <f>IF(AND(E238=0,G238=0),1,0)</f>
        <v>0</v>
      </c>
      <c r="J238" s="7">
        <f>IF(AND(E238=0,H238=0),1,0)</f>
        <v>0</v>
      </c>
      <c r="K238" s="7">
        <f>I238*'05 Methodology'!$B$7</f>
        <v>0</v>
      </c>
      <c r="L238" s="7">
        <f>J238*'05 Methodology'!$B$7</f>
        <v>0</v>
      </c>
      <c r="M238" s="7" t="str">
        <f>IF(G238=1,"FLAG / HOLD","INDEXED")</f>
        <v>INDEXED</v>
      </c>
      <c r="N238" s="1" t="str">
        <f>IF(H238=1,"FLAG / HOLD","INDEXED")</f>
        <v>INDEXED</v>
      </c>
      <c r="O238" s="1" t="s">
        <v>18</v>
      </c>
      <c r="P238" s="1" t="s">
        <v>19</v>
      </c>
      <c r="Q238" s="1"/>
      <c r="R238" s="1"/>
      <c r="S238" s="1"/>
      <c r="T238" s="1"/>
      <c r="U238" s="1"/>
    </row>
    <row r="239" spans="1:21" x14ac:dyDescent="0.2">
      <c r="A239" s="7" t="s">
        <v>259</v>
      </c>
      <c r="B239" s="7">
        <v>6</v>
      </c>
      <c r="C239" s="7">
        <v>6</v>
      </c>
      <c r="D239" s="7" t="str">
        <f>IF(B239=C239,"MATCH","MISMATCH")</f>
        <v>MATCH</v>
      </c>
      <c r="E239" s="7">
        <f>IF(F239="None",1,0)</f>
        <v>1</v>
      </c>
      <c r="F239" s="7" t="s">
        <v>17</v>
      </c>
      <c r="G239" s="7">
        <v>0</v>
      </c>
      <c r="H239" s="7">
        <v>0</v>
      </c>
      <c r="I239" s="7">
        <f>IF(AND(E239=0,G239=0),1,0)</f>
        <v>0</v>
      </c>
      <c r="J239" s="7">
        <f>IF(AND(E239=0,H239=0),1,0)</f>
        <v>0</v>
      </c>
      <c r="K239" s="7">
        <f>I239*'05 Methodology'!$B$7</f>
        <v>0</v>
      </c>
      <c r="L239" s="7">
        <f>J239*'05 Methodology'!$B$7</f>
        <v>0</v>
      </c>
      <c r="M239" s="7" t="str">
        <f>IF(G239=1,"FLAG / HOLD","INDEXED")</f>
        <v>INDEXED</v>
      </c>
      <c r="N239" s="1" t="str">
        <f>IF(H239=1,"FLAG / HOLD","INDEXED")</f>
        <v>INDEXED</v>
      </c>
      <c r="O239" s="1" t="s">
        <v>18</v>
      </c>
      <c r="P239" s="1" t="s">
        <v>19</v>
      </c>
      <c r="Q239" s="1"/>
      <c r="R239" s="1"/>
      <c r="S239" s="1"/>
      <c r="T239" s="1"/>
      <c r="U239" s="1"/>
    </row>
    <row r="240" spans="1:21" x14ac:dyDescent="0.2">
      <c r="A240" s="7" t="s">
        <v>260</v>
      </c>
      <c r="B240" s="7">
        <v>8</v>
      </c>
      <c r="C240" s="7">
        <v>8</v>
      </c>
      <c r="D240" s="7" t="str">
        <f>IF(B240=C240,"MATCH","MISMATCH")</f>
        <v>MATCH</v>
      </c>
      <c r="E240" s="7">
        <f>IF(F240="None",1,0)</f>
        <v>1</v>
      </c>
      <c r="F240" s="7" t="s">
        <v>17</v>
      </c>
      <c r="G240" s="7">
        <v>0</v>
      </c>
      <c r="H240" s="7">
        <v>0</v>
      </c>
      <c r="I240" s="7">
        <f>IF(AND(E240=0,G240=0),1,0)</f>
        <v>0</v>
      </c>
      <c r="J240" s="7">
        <f>IF(AND(E240=0,H240=0),1,0)</f>
        <v>0</v>
      </c>
      <c r="K240" s="7">
        <f>I240*'05 Methodology'!$B$7</f>
        <v>0</v>
      </c>
      <c r="L240" s="7">
        <f>J240*'05 Methodology'!$B$7</f>
        <v>0</v>
      </c>
      <c r="M240" s="7" t="str">
        <f>IF(G240=1,"FLAG / HOLD","INDEXED")</f>
        <v>INDEXED</v>
      </c>
      <c r="N240" s="1" t="str">
        <f>IF(H240=1,"FLAG / HOLD","INDEXED")</f>
        <v>INDEXED</v>
      </c>
      <c r="O240" s="1" t="s">
        <v>18</v>
      </c>
      <c r="P240" s="1" t="s">
        <v>19</v>
      </c>
      <c r="Q240" s="1"/>
      <c r="R240" s="1"/>
      <c r="S240" s="1"/>
      <c r="T240" s="1"/>
      <c r="U240" s="1"/>
    </row>
    <row r="241" spans="1:21" x14ac:dyDescent="0.2">
      <c r="A241" s="7" t="s">
        <v>261</v>
      </c>
      <c r="B241" s="7">
        <v>4</v>
      </c>
      <c r="C241" s="7">
        <v>4</v>
      </c>
      <c r="D241" s="7" t="str">
        <f>IF(B241=C241,"MATCH","MISMATCH")</f>
        <v>MATCH</v>
      </c>
      <c r="E241" s="7">
        <f>IF(F241="None",1,0)</f>
        <v>1</v>
      </c>
      <c r="F241" s="7" t="s">
        <v>17</v>
      </c>
      <c r="G241" s="7">
        <v>0</v>
      </c>
      <c r="H241" s="7">
        <v>0</v>
      </c>
      <c r="I241" s="7">
        <f>IF(AND(E241=0,G241=0),1,0)</f>
        <v>0</v>
      </c>
      <c r="J241" s="7">
        <f>IF(AND(E241=0,H241=0),1,0)</f>
        <v>0</v>
      </c>
      <c r="K241" s="7">
        <f>I241*'05 Methodology'!$B$7</f>
        <v>0</v>
      </c>
      <c r="L241" s="7">
        <f>J241*'05 Methodology'!$B$7</f>
        <v>0</v>
      </c>
      <c r="M241" s="7" t="str">
        <f>IF(G241=1,"FLAG / HOLD","INDEXED")</f>
        <v>INDEXED</v>
      </c>
      <c r="N241" s="1" t="str">
        <f>IF(H241=1,"FLAG / HOLD","INDEXED")</f>
        <v>INDEXED</v>
      </c>
      <c r="O241" s="1" t="s">
        <v>18</v>
      </c>
      <c r="P241" s="1" t="s">
        <v>19</v>
      </c>
      <c r="Q241" s="1"/>
      <c r="R241" s="1"/>
      <c r="S241" s="1"/>
      <c r="T241" s="1"/>
      <c r="U241" s="1"/>
    </row>
    <row r="242" spans="1:21" x14ac:dyDescent="0.2">
      <c r="A242" s="7" t="s">
        <v>262</v>
      </c>
      <c r="B242" s="7">
        <v>5</v>
      </c>
      <c r="C242" s="7">
        <v>5</v>
      </c>
      <c r="D242" s="7" t="str">
        <f>IF(B242=C242,"MATCH","MISMATCH")</f>
        <v>MATCH</v>
      </c>
      <c r="E242" s="7">
        <f>IF(F242="None",1,0)</f>
        <v>1</v>
      </c>
      <c r="F242" s="7" t="s">
        <v>17</v>
      </c>
      <c r="G242" s="7">
        <v>0</v>
      </c>
      <c r="H242" s="7">
        <v>0</v>
      </c>
      <c r="I242" s="7">
        <f>IF(AND(E242=0,G242=0),1,0)</f>
        <v>0</v>
      </c>
      <c r="J242" s="7">
        <f>IF(AND(E242=0,H242=0),1,0)</f>
        <v>0</v>
      </c>
      <c r="K242" s="7">
        <f>I242*'05 Methodology'!$B$7</f>
        <v>0</v>
      </c>
      <c r="L242" s="7">
        <f>J242*'05 Methodology'!$B$7</f>
        <v>0</v>
      </c>
      <c r="M242" s="7" t="str">
        <f>IF(G242=1,"FLAG / HOLD","INDEXED")</f>
        <v>INDEXED</v>
      </c>
      <c r="N242" s="1" t="str">
        <f>IF(H242=1,"FLAG / HOLD","INDEXED")</f>
        <v>INDEXED</v>
      </c>
      <c r="O242" s="1" t="s">
        <v>18</v>
      </c>
      <c r="P242" s="1" t="s">
        <v>19</v>
      </c>
      <c r="Q242" s="1"/>
      <c r="R242" s="1"/>
      <c r="S242" s="1"/>
      <c r="T242" s="1"/>
      <c r="U242" s="1"/>
    </row>
    <row r="243" spans="1:21" x14ac:dyDescent="0.2">
      <c r="A243" s="7" t="s">
        <v>263</v>
      </c>
      <c r="B243" s="7">
        <v>6</v>
      </c>
      <c r="C243" s="7">
        <v>6</v>
      </c>
      <c r="D243" s="7" t="str">
        <f>IF(B243=C243,"MATCH","MISMATCH")</f>
        <v>MATCH</v>
      </c>
      <c r="E243" s="7">
        <f>IF(F243="None",1,0)</f>
        <v>1</v>
      </c>
      <c r="F243" s="7" t="s">
        <v>17</v>
      </c>
      <c r="G243" s="7">
        <v>0</v>
      </c>
      <c r="H243" s="7">
        <v>0</v>
      </c>
      <c r="I243" s="7">
        <f>IF(AND(E243=0,G243=0),1,0)</f>
        <v>0</v>
      </c>
      <c r="J243" s="7">
        <f>IF(AND(E243=0,H243=0),1,0)</f>
        <v>0</v>
      </c>
      <c r="K243" s="7">
        <f>I243*'05 Methodology'!$B$7</f>
        <v>0</v>
      </c>
      <c r="L243" s="7">
        <f>J243*'05 Methodology'!$B$7</f>
        <v>0</v>
      </c>
      <c r="M243" s="7" t="str">
        <f>IF(G243=1,"FLAG / HOLD","INDEXED")</f>
        <v>INDEXED</v>
      </c>
      <c r="N243" s="1" t="str">
        <f>IF(H243=1,"FLAG / HOLD","INDEXED")</f>
        <v>INDEXED</v>
      </c>
      <c r="O243" s="1" t="s">
        <v>18</v>
      </c>
      <c r="P243" s="1" t="s">
        <v>19</v>
      </c>
      <c r="Q243" s="1"/>
      <c r="R243" s="1"/>
      <c r="S243" s="1"/>
      <c r="T243" s="1"/>
      <c r="U243" s="1"/>
    </row>
    <row r="244" spans="1:21" x14ac:dyDescent="0.2">
      <c r="A244" s="7" t="s">
        <v>264</v>
      </c>
      <c r="B244" s="7">
        <v>7</v>
      </c>
      <c r="C244" s="7">
        <v>7</v>
      </c>
      <c r="D244" s="7" t="str">
        <f>IF(B244=C244,"MATCH","MISMATCH")</f>
        <v>MATCH</v>
      </c>
      <c r="E244" s="7">
        <f>IF(F244="None",1,0)</f>
        <v>1</v>
      </c>
      <c r="F244" s="7" t="s">
        <v>17</v>
      </c>
      <c r="G244" s="7">
        <v>0</v>
      </c>
      <c r="H244" s="7">
        <v>0</v>
      </c>
      <c r="I244" s="7">
        <f>IF(AND(E244=0,G244=0),1,0)</f>
        <v>0</v>
      </c>
      <c r="J244" s="7">
        <f>IF(AND(E244=0,H244=0),1,0)</f>
        <v>0</v>
      </c>
      <c r="K244" s="7">
        <f>I244*'05 Methodology'!$B$7</f>
        <v>0</v>
      </c>
      <c r="L244" s="7">
        <f>J244*'05 Methodology'!$B$7</f>
        <v>0</v>
      </c>
      <c r="M244" s="7" t="str">
        <f>IF(G244=1,"FLAG / HOLD","INDEXED")</f>
        <v>INDEXED</v>
      </c>
      <c r="N244" s="1" t="str">
        <f>IF(H244=1,"FLAG / HOLD","INDEXED")</f>
        <v>INDEXED</v>
      </c>
      <c r="O244" s="1" t="s">
        <v>18</v>
      </c>
      <c r="P244" s="1" t="s">
        <v>19</v>
      </c>
      <c r="Q244" s="1"/>
      <c r="R244" s="1"/>
      <c r="S244" s="1"/>
      <c r="T244" s="1"/>
      <c r="U244" s="1"/>
    </row>
    <row r="245" spans="1:21" x14ac:dyDescent="0.2">
      <c r="A245" s="7" t="s">
        <v>265</v>
      </c>
      <c r="B245" s="7">
        <v>8</v>
      </c>
      <c r="C245" s="7">
        <v>8</v>
      </c>
      <c r="D245" s="7" t="str">
        <f>IF(B245=C245,"MATCH","MISMATCH")</f>
        <v>MATCH</v>
      </c>
      <c r="E245" s="7">
        <f>IF(F245="None",1,0)</f>
        <v>1</v>
      </c>
      <c r="F245" s="7" t="s">
        <v>17</v>
      </c>
      <c r="G245" s="7">
        <v>0</v>
      </c>
      <c r="H245" s="7">
        <v>0</v>
      </c>
      <c r="I245" s="7">
        <f>IF(AND(E245=0,G245=0),1,0)</f>
        <v>0</v>
      </c>
      <c r="J245" s="7">
        <f>IF(AND(E245=0,H245=0),1,0)</f>
        <v>0</v>
      </c>
      <c r="K245" s="7">
        <f>I245*'05 Methodology'!$B$7</f>
        <v>0</v>
      </c>
      <c r="L245" s="7">
        <f>J245*'05 Methodology'!$B$7</f>
        <v>0</v>
      </c>
      <c r="M245" s="7" t="str">
        <f>IF(G245=1,"FLAG / HOLD","INDEXED")</f>
        <v>INDEXED</v>
      </c>
      <c r="N245" s="1" t="str">
        <f>IF(H245=1,"FLAG / HOLD","INDEXED")</f>
        <v>INDEXED</v>
      </c>
      <c r="O245" s="1" t="s">
        <v>18</v>
      </c>
      <c r="P245" s="1" t="s">
        <v>19</v>
      </c>
      <c r="Q245" s="1"/>
      <c r="R245" s="1"/>
      <c r="S245" s="1"/>
      <c r="T245" s="1"/>
      <c r="U245" s="1"/>
    </row>
    <row r="246" spans="1:21" x14ac:dyDescent="0.2">
      <c r="A246" s="7" t="s">
        <v>266</v>
      </c>
      <c r="B246" s="7">
        <v>6</v>
      </c>
      <c r="C246" s="7">
        <v>6</v>
      </c>
      <c r="D246" s="7" t="str">
        <f>IF(B246=C246,"MATCH","MISMATCH")</f>
        <v>MATCH</v>
      </c>
      <c r="E246" s="7">
        <f>IF(F246="None",1,0)</f>
        <v>1</v>
      </c>
      <c r="F246" s="7" t="s">
        <v>17</v>
      </c>
      <c r="G246" s="7">
        <v>0</v>
      </c>
      <c r="H246" s="7">
        <v>0</v>
      </c>
      <c r="I246" s="7">
        <f>IF(AND(E246=0,G246=0),1,0)</f>
        <v>0</v>
      </c>
      <c r="J246" s="7">
        <f>IF(AND(E246=0,H246=0),1,0)</f>
        <v>0</v>
      </c>
      <c r="K246" s="7">
        <f>I246*'05 Methodology'!$B$7</f>
        <v>0</v>
      </c>
      <c r="L246" s="7">
        <f>J246*'05 Methodology'!$B$7</f>
        <v>0</v>
      </c>
      <c r="M246" s="7" t="str">
        <f>IF(G246=1,"FLAG / HOLD","INDEXED")</f>
        <v>INDEXED</v>
      </c>
      <c r="N246" s="1" t="str">
        <f>IF(H246=1,"FLAG / HOLD","INDEXED")</f>
        <v>INDEXED</v>
      </c>
      <c r="O246" s="1" t="s">
        <v>18</v>
      </c>
      <c r="P246" s="1" t="s">
        <v>19</v>
      </c>
      <c r="Q246" s="1"/>
      <c r="R246" s="1"/>
      <c r="S246" s="1"/>
      <c r="T246" s="1"/>
      <c r="U246" s="1"/>
    </row>
    <row r="247" spans="1:21" x14ac:dyDescent="0.2">
      <c r="A247" s="7" t="s">
        <v>267</v>
      </c>
      <c r="B247" s="7">
        <v>5</v>
      </c>
      <c r="C247" s="7">
        <v>5</v>
      </c>
      <c r="D247" s="7" t="str">
        <f>IF(B247=C247,"MATCH","MISMATCH")</f>
        <v>MATCH</v>
      </c>
      <c r="E247" s="7">
        <f>IF(F247="None",1,0)</f>
        <v>1</v>
      </c>
      <c r="F247" s="7" t="s">
        <v>17</v>
      </c>
      <c r="G247" s="7">
        <v>0</v>
      </c>
      <c r="H247" s="7">
        <v>0</v>
      </c>
      <c r="I247" s="7">
        <f>IF(AND(E247=0,G247=0),1,0)</f>
        <v>0</v>
      </c>
      <c r="J247" s="7">
        <f>IF(AND(E247=0,H247=0),1,0)</f>
        <v>0</v>
      </c>
      <c r="K247" s="7">
        <f>I247*'05 Methodology'!$B$7</f>
        <v>0</v>
      </c>
      <c r="L247" s="7">
        <f>J247*'05 Methodology'!$B$7</f>
        <v>0</v>
      </c>
      <c r="M247" s="7" t="str">
        <f>IF(G247=1,"FLAG / HOLD","INDEXED")</f>
        <v>INDEXED</v>
      </c>
      <c r="N247" s="1" t="str">
        <f>IF(H247=1,"FLAG / HOLD","INDEXED")</f>
        <v>INDEXED</v>
      </c>
      <c r="O247" s="1" t="s">
        <v>18</v>
      </c>
      <c r="P247" s="1" t="s">
        <v>19</v>
      </c>
      <c r="Q247" s="1"/>
      <c r="R247" s="1"/>
      <c r="S247" s="1"/>
      <c r="T247" s="1"/>
      <c r="U247" s="1"/>
    </row>
    <row r="248" spans="1:21" x14ac:dyDescent="0.2">
      <c r="A248" s="7" t="s">
        <v>268</v>
      </c>
      <c r="B248" s="7">
        <v>6</v>
      </c>
      <c r="C248" s="7">
        <v>6</v>
      </c>
      <c r="D248" s="7" t="str">
        <f>IF(B248=C248,"MATCH","MISMATCH")</f>
        <v>MATCH</v>
      </c>
      <c r="E248" s="7">
        <f>IF(F248="None",1,0)</f>
        <v>1</v>
      </c>
      <c r="F248" s="7" t="s">
        <v>17</v>
      </c>
      <c r="G248" s="7">
        <v>0</v>
      </c>
      <c r="H248" s="7">
        <v>0</v>
      </c>
      <c r="I248" s="7">
        <f>IF(AND(E248=0,G248=0),1,0)</f>
        <v>0</v>
      </c>
      <c r="J248" s="7">
        <f>IF(AND(E248=0,H248=0),1,0)</f>
        <v>0</v>
      </c>
      <c r="K248" s="7">
        <f>I248*'05 Methodology'!$B$7</f>
        <v>0</v>
      </c>
      <c r="L248" s="7">
        <f>J248*'05 Methodology'!$B$7</f>
        <v>0</v>
      </c>
      <c r="M248" s="7" t="str">
        <f>IF(G248=1,"FLAG / HOLD","INDEXED")</f>
        <v>INDEXED</v>
      </c>
      <c r="N248" s="1" t="str">
        <f>IF(H248=1,"FLAG / HOLD","INDEXED")</f>
        <v>INDEXED</v>
      </c>
      <c r="O248" s="1" t="s">
        <v>18</v>
      </c>
      <c r="P248" s="1" t="s">
        <v>19</v>
      </c>
      <c r="Q248" s="1"/>
      <c r="R248" s="1"/>
      <c r="S248" s="1"/>
      <c r="T248" s="1"/>
      <c r="U248" s="1"/>
    </row>
    <row r="249" spans="1:21" x14ac:dyDescent="0.2">
      <c r="A249" s="7" t="s">
        <v>269</v>
      </c>
      <c r="B249" s="7">
        <v>7</v>
      </c>
      <c r="C249" s="7">
        <v>7</v>
      </c>
      <c r="D249" s="7" t="str">
        <f>IF(B249=C249,"MATCH","MISMATCH")</f>
        <v>MATCH</v>
      </c>
      <c r="E249" s="7">
        <f>IF(F249="None",1,0)</f>
        <v>1</v>
      </c>
      <c r="F249" s="7" t="s">
        <v>17</v>
      </c>
      <c r="G249" s="7">
        <v>0</v>
      </c>
      <c r="H249" s="7">
        <v>0</v>
      </c>
      <c r="I249" s="7">
        <f>IF(AND(E249=0,G249=0),1,0)</f>
        <v>0</v>
      </c>
      <c r="J249" s="7">
        <f>IF(AND(E249=0,H249=0),1,0)</f>
        <v>0</v>
      </c>
      <c r="K249" s="7">
        <f>I249*'05 Methodology'!$B$7</f>
        <v>0</v>
      </c>
      <c r="L249" s="7">
        <f>J249*'05 Methodology'!$B$7</f>
        <v>0</v>
      </c>
      <c r="M249" s="7" t="str">
        <f>IF(G249=1,"FLAG / HOLD","INDEXED")</f>
        <v>INDEXED</v>
      </c>
      <c r="N249" s="1" t="str">
        <f>IF(H249=1,"FLAG / HOLD","INDEXED")</f>
        <v>INDEXED</v>
      </c>
      <c r="O249" s="1" t="s">
        <v>18</v>
      </c>
      <c r="P249" s="1" t="s">
        <v>19</v>
      </c>
      <c r="Q249" s="1"/>
      <c r="R249" s="1"/>
      <c r="S249" s="1"/>
      <c r="T249" s="1"/>
      <c r="U249" s="1"/>
    </row>
    <row r="250" spans="1:21" x14ac:dyDescent="0.2">
      <c r="A250" s="7" t="s">
        <v>270</v>
      </c>
      <c r="B250" s="7">
        <v>8</v>
      </c>
      <c r="C250" s="7">
        <v>8</v>
      </c>
      <c r="D250" s="7" t="str">
        <f>IF(B250=C250,"MATCH","MISMATCH")</f>
        <v>MATCH</v>
      </c>
      <c r="E250" s="7">
        <f>IF(F250="None",1,0)</f>
        <v>1</v>
      </c>
      <c r="F250" s="7" t="s">
        <v>17</v>
      </c>
      <c r="G250" s="7">
        <v>0</v>
      </c>
      <c r="H250" s="7">
        <v>0</v>
      </c>
      <c r="I250" s="7">
        <f>IF(AND(E250=0,G250=0),1,0)</f>
        <v>0</v>
      </c>
      <c r="J250" s="7">
        <f>IF(AND(E250=0,H250=0),1,0)</f>
        <v>0</v>
      </c>
      <c r="K250" s="7">
        <f>I250*'05 Methodology'!$B$7</f>
        <v>0</v>
      </c>
      <c r="L250" s="7">
        <f>J250*'05 Methodology'!$B$7</f>
        <v>0</v>
      </c>
      <c r="M250" s="7" t="str">
        <f>IF(G250=1,"FLAG / HOLD","INDEXED")</f>
        <v>INDEXED</v>
      </c>
      <c r="N250" s="1" t="str">
        <f>IF(H250=1,"FLAG / HOLD","INDEXED")</f>
        <v>INDEXED</v>
      </c>
      <c r="O250" s="1" t="s">
        <v>18</v>
      </c>
      <c r="P250" s="1" t="s">
        <v>19</v>
      </c>
      <c r="Q250" s="1"/>
      <c r="R250" s="1"/>
      <c r="S250" s="1"/>
      <c r="T250" s="1"/>
      <c r="U250" s="1"/>
    </row>
    <row r="251" spans="1:21" x14ac:dyDescent="0.2">
      <c r="A251" s="7" t="s">
        <v>271</v>
      </c>
      <c r="B251" s="7">
        <v>4</v>
      </c>
      <c r="C251" s="7">
        <v>4</v>
      </c>
      <c r="D251" s="7" t="str">
        <f>IF(B251=C251,"MATCH","MISMATCH")</f>
        <v>MATCH</v>
      </c>
      <c r="E251" s="7">
        <f>IF(F251="None",1,0)</f>
        <v>1</v>
      </c>
      <c r="F251" s="7" t="s">
        <v>17</v>
      </c>
      <c r="G251" s="7">
        <v>0</v>
      </c>
      <c r="H251" s="7">
        <v>0</v>
      </c>
      <c r="I251" s="7">
        <f>IF(AND(E251=0,G251=0),1,0)</f>
        <v>0</v>
      </c>
      <c r="J251" s="7">
        <f>IF(AND(E251=0,H251=0),1,0)</f>
        <v>0</v>
      </c>
      <c r="K251" s="7">
        <f>I251*'05 Methodology'!$B$7</f>
        <v>0</v>
      </c>
      <c r="L251" s="7">
        <f>J251*'05 Methodology'!$B$7</f>
        <v>0</v>
      </c>
      <c r="M251" s="7" t="str">
        <f>IF(G251=1,"FLAG / HOLD","INDEXED")</f>
        <v>INDEXED</v>
      </c>
      <c r="N251" s="1" t="str">
        <f>IF(H251=1,"FLAG / HOLD","INDEXED")</f>
        <v>INDEXED</v>
      </c>
      <c r="O251" s="1" t="s">
        <v>18</v>
      </c>
      <c r="P251" s="1" t="s">
        <v>19</v>
      </c>
      <c r="Q251" s="1"/>
      <c r="R251" s="1"/>
      <c r="S251" s="1"/>
      <c r="T251" s="1"/>
      <c r="U251" s="1"/>
    </row>
    <row r="252" spans="1:21" x14ac:dyDescent="0.2">
      <c r="A252" s="7" t="s">
        <v>272</v>
      </c>
      <c r="B252" s="7">
        <v>5</v>
      </c>
      <c r="C252" s="7">
        <v>5</v>
      </c>
      <c r="D252" s="7" t="str">
        <f>IF(B252=C252,"MATCH","MISMATCH")</f>
        <v>MATCH</v>
      </c>
      <c r="E252" s="7">
        <f>IF(F252="None",1,0)</f>
        <v>1</v>
      </c>
      <c r="F252" s="7" t="s">
        <v>17</v>
      </c>
      <c r="G252" s="7">
        <v>0</v>
      </c>
      <c r="H252" s="7">
        <v>0</v>
      </c>
      <c r="I252" s="7">
        <f>IF(AND(E252=0,G252=0),1,0)</f>
        <v>0</v>
      </c>
      <c r="J252" s="7">
        <f>IF(AND(E252=0,H252=0),1,0)</f>
        <v>0</v>
      </c>
      <c r="K252" s="7">
        <f>I252*'05 Methodology'!$B$7</f>
        <v>0</v>
      </c>
      <c r="L252" s="7">
        <f>J252*'05 Methodology'!$B$7</f>
        <v>0</v>
      </c>
      <c r="M252" s="7" t="str">
        <f>IF(G252=1,"FLAG / HOLD","INDEXED")</f>
        <v>INDEXED</v>
      </c>
      <c r="N252" s="1" t="str">
        <f>IF(H252=1,"FLAG / HOLD","INDEXED")</f>
        <v>INDEXED</v>
      </c>
      <c r="O252" s="1" t="s">
        <v>18</v>
      </c>
      <c r="P252" s="1" t="s">
        <v>19</v>
      </c>
      <c r="Q252" s="1"/>
      <c r="R252" s="1"/>
      <c r="S252" s="1"/>
      <c r="T252" s="1"/>
      <c r="U252" s="1"/>
    </row>
    <row r="253" spans="1:21" x14ac:dyDescent="0.2">
      <c r="A253" s="7" t="s">
        <v>273</v>
      </c>
      <c r="B253" s="7">
        <v>6</v>
      </c>
      <c r="C253" s="7">
        <v>6</v>
      </c>
      <c r="D253" s="7" t="str">
        <f>IF(B253=C253,"MATCH","MISMATCH")</f>
        <v>MATCH</v>
      </c>
      <c r="E253" s="7">
        <f>IF(F253="None",1,0)</f>
        <v>1</v>
      </c>
      <c r="F253" s="7" t="s">
        <v>17</v>
      </c>
      <c r="G253" s="7">
        <v>0</v>
      </c>
      <c r="H253" s="7">
        <v>0</v>
      </c>
      <c r="I253" s="7">
        <f>IF(AND(E253=0,G253=0),1,0)</f>
        <v>0</v>
      </c>
      <c r="J253" s="7">
        <f>IF(AND(E253=0,H253=0),1,0)</f>
        <v>0</v>
      </c>
      <c r="K253" s="7">
        <f>I253*'05 Methodology'!$B$7</f>
        <v>0</v>
      </c>
      <c r="L253" s="7">
        <f>J253*'05 Methodology'!$B$7</f>
        <v>0</v>
      </c>
      <c r="M253" s="7" t="str">
        <f>IF(G253=1,"FLAG / HOLD","INDEXED")</f>
        <v>INDEXED</v>
      </c>
      <c r="N253" s="1" t="str">
        <f>IF(H253=1,"FLAG / HOLD","INDEXED")</f>
        <v>INDEXED</v>
      </c>
      <c r="O253" s="1" t="s">
        <v>18</v>
      </c>
      <c r="P253" s="1" t="s">
        <v>19</v>
      </c>
      <c r="Q253" s="1"/>
      <c r="R253" s="1"/>
      <c r="S253" s="1"/>
      <c r="T253" s="1"/>
      <c r="U253" s="1"/>
    </row>
    <row r="254" spans="1:21" x14ac:dyDescent="0.2">
      <c r="A254" s="7" t="s">
        <v>274</v>
      </c>
      <c r="B254" s="7">
        <v>7</v>
      </c>
      <c r="C254" s="7">
        <v>7</v>
      </c>
      <c r="D254" s="7" t="str">
        <f>IF(B254=C254,"MATCH","MISMATCH")</f>
        <v>MATCH</v>
      </c>
      <c r="E254" s="7">
        <f>IF(F254="None",1,0)</f>
        <v>1</v>
      </c>
      <c r="F254" s="7" t="s">
        <v>17</v>
      </c>
      <c r="G254" s="7">
        <v>0</v>
      </c>
      <c r="H254" s="7">
        <v>0</v>
      </c>
      <c r="I254" s="7">
        <f>IF(AND(E254=0,G254=0),1,0)</f>
        <v>0</v>
      </c>
      <c r="J254" s="7">
        <f>IF(AND(E254=0,H254=0),1,0)</f>
        <v>0</v>
      </c>
      <c r="K254" s="7">
        <f>I254*'05 Methodology'!$B$7</f>
        <v>0</v>
      </c>
      <c r="L254" s="7">
        <f>J254*'05 Methodology'!$B$7</f>
        <v>0</v>
      </c>
      <c r="M254" s="7" t="str">
        <f>IF(G254=1,"FLAG / HOLD","INDEXED")</f>
        <v>INDEXED</v>
      </c>
      <c r="N254" s="1" t="str">
        <f>IF(H254=1,"FLAG / HOLD","INDEXED")</f>
        <v>INDEXED</v>
      </c>
      <c r="O254" s="1" t="s">
        <v>18</v>
      </c>
      <c r="P254" s="1" t="s">
        <v>19</v>
      </c>
      <c r="Q254" s="1"/>
      <c r="R254" s="1"/>
      <c r="S254" s="1"/>
      <c r="T254" s="1"/>
      <c r="U254" s="1"/>
    </row>
    <row r="255" spans="1:21" x14ac:dyDescent="0.2">
      <c r="A255" s="7" t="s">
        <v>275</v>
      </c>
      <c r="B255" s="7">
        <v>8</v>
      </c>
      <c r="C255" s="7">
        <v>8</v>
      </c>
      <c r="D255" s="7" t="str">
        <f>IF(B255=C255,"MATCH","MISMATCH")</f>
        <v>MATCH</v>
      </c>
      <c r="E255" s="7">
        <f>IF(F255="None",1,0)</f>
        <v>1</v>
      </c>
      <c r="F255" s="7" t="s">
        <v>17</v>
      </c>
      <c r="G255" s="7">
        <v>0</v>
      </c>
      <c r="H255" s="7">
        <v>0</v>
      </c>
      <c r="I255" s="7">
        <f>IF(AND(E255=0,G255=0),1,0)</f>
        <v>0</v>
      </c>
      <c r="J255" s="7">
        <f>IF(AND(E255=0,H255=0),1,0)</f>
        <v>0</v>
      </c>
      <c r="K255" s="7">
        <f>I255*'05 Methodology'!$B$7</f>
        <v>0</v>
      </c>
      <c r="L255" s="7">
        <f>J255*'05 Methodology'!$B$7</f>
        <v>0</v>
      </c>
      <c r="M255" s="7" t="str">
        <f>IF(G255=1,"FLAG / HOLD","INDEXED")</f>
        <v>INDEXED</v>
      </c>
      <c r="N255" s="1" t="str">
        <f>IF(H255=1,"FLAG / HOLD","INDEXED")</f>
        <v>INDEXED</v>
      </c>
      <c r="O255" s="1" t="s">
        <v>18</v>
      </c>
      <c r="P255" s="1" t="s">
        <v>19</v>
      </c>
      <c r="Q255" s="1"/>
      <c r="R255" s="1"/>
      <c r="S255" s="1"/>
      <c r="T255" s="1"/>
      <c r="U255" s="1"/>
    </row>
    <row r="256" spans="1:21" x14ac:dyDescent="0.2">
      <c r="A256" s="7" t="s">
        <v>276</v>
      </c>
      <c r="B256" s="7">
        <v>4</v>
      </c>
      <c r="C256" s="7">
        <v>4</v>
      </c>
      <c r="D256" s="7" t="str">
        <f>IF(B256=C256,"MATCH","MISMATCH")</f>
        <v>MATCH</v>
      </c>
      <c r="E256" s="7">
        <f>IF(F256="None",1,0)</f>
        <v>1</v>
      </c>
      <c r="F256" s="7" t="s">
        <v>17</v>
      </c>
      <c r="G256" s="7">
        <v>0</v>
      </c>
      <c r="H256" s="7">
        <v>0</v>
      </c>
      <c r="I256" s="7">
        <f>IF(AND(E256=0,G256=0),1,0)</f>
        <v>0</v>
      </c>
      <c r="J256" s="7">
        <f>IF(AND(E256=0,H256=0),1,0)</f>
        <v>0</v>
      </c>
      <c r="K256" s="7">
        <f>I256*'05 Methodology'!$B$7</f>
        <v>0</v>
      </c>
      <c r="L256" s="7">
        <f>J256*'05 Methodology'!$B$7</f>
        <v>0</v>
      </c>
      <c r="M256" s="7" t="str">
        <f>IF(G256=1,"FLAG / HOLD","INDEXED")</f>
        <v>INDEXED</v>
      </c>
      <c r="N256" s="1" t="str">
        <f>IF(H256=1,"FLAG / HOLD","INDEXED")</f>
        <v>INDEXED</v>
      </c>
      <c r="O256" s="1" t="s">
        <v>18</v>
      </c>
      <c r="P256" s="1" t="s">
        <v>19</v>
      </c>
      <c r="Q256" s="1"/>
      <c r="R256" s="1"/>
      <c r="S256" s="1"/>
      <c r="T256" s="1"/>
      <c r="U256" s="1"/>
    </row>
    <row r="257" spans="1:21" x14ac:dyDescent="0.2">
      <c r="A257" s="7" t="s">
        <v>277</v>
      </c>
      <c r="B257" s="7">
        <v>5</v>
      </c>
      <c r="C257" s="7">
        <v>5</v>
      </c>
      <c r="D257" s="7" t="str">
        <f>IF(B257=C257,"MATCH","MISMATCH")</f>
        <v>MATCH</v>
      </c>
      <c r="E257" s="7">
        <f>IF(F257="None",1,0)</f>
        <v>1</v>
      </c>
      <c r="F257" s="7" t="s">
        <v>17</v>
      </c>
      <c r="G257" s="7">
        <v>0</v>
      </c>
      <c r="H257" s="7">
        <v>0</v>
      </c>
      <c r="I257" s="7">
        <f>IF(AND(E257=0,G257=0),1,0)</f>
        <v>0</v>
      </c>
      <c r="J257" s="7">
        <f>IF(AND(E257=0,H257=0),1,0)</f>
        <v>0</v>
      </c>
      <c r="K257" s="7">
        <f>I257*'05 Methodology'!$B$7</f>
        <v>0</v>
      </c>
      <c r="L257" s="7">
        <f>J257*'05 Methodology'!$B$7</f>
        <v>0</v>
      </c>
      <c r="M257" s="7" t="str">
        <f>IF(G257=1,"FLAG / HOLD","INDEXED")</f>
        <v>INDEXED</v>
      </c>
      <c r="N257" s="1" t="str">
        <f>IF(H257=1,"FLAG / HOLD","INDEXED")</f>
        <v>INDEXED</v>
      </c>
      <c r="O257" s="1" t="s">
        <v>18</v>
      </c>
      <c r="P257" s="1" t="s">
        <v>19</v>
      </c>
      <c r="Q257" s="1"/>
      <c r="R257" s="1"/>
      <c r="S257" s="1"/>
      <c r="T257" s="1"/>
      <c r="U257" s="1"/>
    </row>
    <row r="258" spans="1:21" x14ac:dyDescent="0.2">
      <c r="A258" s="7" t="s">
        <v>278</v>
      </c>
      <c r="B258" s="7">
        <v>6</v>
      </c>
      <c r="C258" s="7">
        <v>6</v>
      </c>
      <c r="D258" s="7" t="str">
        <f>IF(B258=C258,"MATCH","MISMATCH")</f>
        <v>MATCH</v>
      </c>
      <c r="E258" s="7">
        <f>IF(F258="None",1,0)</f>
        <v>1</v>
      </c>
      <c r="F258" s="7" t="s">
        <v>17</v>
      </c>
      <c r="G258" s="7">
        <v>0</v>
      </c>
      <c r="H258" s="7">
        <v>0</v>
      </c>
      <c r="I258" s="7">
        <f>IF(AND(E258=0,G258=0),1,0)</f>
        <v>0</v>
      </c>
      <c r="J258" s="7">
        <f>IF(AND(E258=0,H258=0),1,0)</f>
        <v>0</v>
      </c>
      <c r="K258" s="7">
        <f>I258*'05 Methodology'!$B$7</f>
        <v>0</v>
      </c>
      <c r="L258" s="7">
        <f>J258*'05 Methodology'!$B$7</f>
        <v>0</v>
      </c>
      <c r="M258" s="7" t="str">
        <f>IF(G258=1,"FLAG / HOLD","INDEXED")</f>
        <v>INDEXED</v>
      </c>
      <c r="N258" s="1" t="str">
        <f>IF(H258=1,"FLAG / HOLD","INDEXED")</f>
        <v>INDEXED</v>
      </c>
      <c r="O258" s="1" t="s">
        <v>18</v>
      </c>
      <c r="P258" s="1" t="s">
        <v>19</v>
      </c>
      <c r="Q258" s="1"/>
      <c r="R258" s="1"/>
      <c r="S258" s="1"/>
      <c r="T258" s="1"/>
      <c r="U258" s="1"/>
    </row>
    <row r="259" spans="1:21" x14ac:dyDescent="0.2">
      <c r="A259" s="7" t="s">
        <v>279</v>
      </c>
      <c r="B259" s="7">
        <v>7</v>
      </c>
      <c r="C259" s="7">
        <v>7</v>
      </c>
      <c r="D259" s="7" t="str">
        <f>IF(B259=C259,"MATCH","MISMATCH")</f>
        <v>MATCH</v>
      </c>
      <c r="E259" s="7">
        <f>IF(F259="None",1,0)</f>
        <v>1</v>
      </c>
      <c r="F259" s="7" t="s">
        <v>17</v>
      </c>
      <c r="G259" s="7">
        <v>0</v>
      </c>
      <c r="H259" s="7">
        <v>0</v>
      </c>
      <c r="I259" s="7">
        <f>IF(AND(E259=0,G259=0),1,0)</f>
        <v>0</v>
      </c>
      <c r="J259" s="7">
        <f>IF(AND(E259=0,H259=0),1,0)</f>
        <v>0</v>
      </c>
      <c r="K259" s="7">
        <f>I259*'05 Methodology'!$B$7</f>
        <v>0</v>
      </c>
      <c r="L259" s="7">
        <f>J259*'05 Methodology'!$B$7</f>
        <v>0</v>
      </c>
      <c r="M259" s="7" t="str">
        <f>IF(G259=1,"FLAG / HOLD","INDEXED")</f>
        <v>INDEXED</v>
      </c>
      <c r="N259" s="1" t="str">
        <f>IF(H259=1,"FLAG / HOLD","INDEXED")</f>
        <v>INDEXED</v>
      </c>
      <c r="O259" s="1" t="s">
        <v>18</v>
      </c>
      <c r="P259" s="1" t="s">
        <v>19</v>
      </c>
      <c r="Q259" s="1"/>
      <c r="R259" s="1"/>
      <c r="S259" s="1"/>
      <c r="T259" s="1"/>
      <c r="U259" s="1"/>
    </row>
    <row r="260" spans="1:21" x14ac:dyDescent="0.2">
      <c r="A260" s="7" t="s">
        <v>280</v>
      </c>
      <c r="B260" s="7">
        <v>6</v>
      </c>
      <c r="C260" s="7">
        <v>6</v>
      </c>
      <c r="D260" s="7" t="str">
        <f>IF(B260=C260,"MATCH","MISMATCH")</f>
        <v>MATCH</v>
      </c>
      <c r="E260" s="7">
        <f>IF(F260="None",1,0)</f>
        <v>1</v>
      </c>
      <c r="F260" s="7" t="s">
        <v>17</v>
      </c>
      <c r="G260" s="7">
        <v>0</v>
      </c>
      <c r="H260" s="7">
        <v>0</v>
      </c>
      <c r="I260" s="7">
        <f>IF(AND(E260=0,G260=0),1,0)</f>
        <v>0</v>
      </c>
      <c r="J260" s="7">
        <f>IF(AND(E260=0,H260=0),1,0)</f>
        <v>0</v>
      </c>
      <c r="K260" s="7">
        <f>I260*'05 Methodology'!$B$7</f>
        <v>0</v>
      </c>
      <c r="L260" s="7">
        <f>J260*'05 Methodology'!$B$7</f>
        <v>0</v>
      </c>
      <c r="M260" s="7" t="str">
        <f>IF(G260=1,"FLAG / HOLD","INDEXED")</f>
        <v>INDEXED</v>
      </c>
      <c r="N260" s="1" t="str">
        <f>IF(H260=1,"FLAG / HOLD","INDEXED")</f>
        <v>INDEXED</v>
      </c>
      <c r="O260" s="1" t="s">
        <v>18</v>
      </c>
      <c r="P260" s="1" t="s">
        <v>19</v>
      </c>
      <c r="Q260" s="1"/>
      <c r="R260" s="1"/>
      <c r="S260" s="1"/>
      <c r="T260" s="1"/>
      <c r="U260" s="1"/>
    </row>
    <row r="261" spans="1:21" x14ac:dyDescent="0.2">
      <c r="A261" s="7" t="s">
        <v>281</v>
      </c>
      <c r="B261" s="7">
        <v>4</v>
      </c>
      <c r="C261" s="7">
        <v>4</v>
      </c>
      <c r="D261" s="7" t="str">
        <f>IF(B261=C261,"MATCH","MISMATCH")</f>
        <v>MATCH</v>
      </c>
      <c r="E261" s="7">
        <f>IF(F261="None",1,0)</f>
        <v>1</v>
      </c>
      <c r="F261" s="7" t="s">
        <v>17</v>
      </c>
      <c r="G261" s="7">
        <v>0</v>
      </c>
      <c r="H261" s="7">
        <v>0</v>
      </c>
      <c r="I261" s="7">
        <f>IF(AND(E261=0,G261=0),1,0)</f>
        <v>0</v>
      </c>
      <c r="J261" s="7">
        <f>IF(AND(E261=0,H261=0),1,0)</f>
        <v>0</v>
      </c>
      <c r="K261" s="7">
        <f>I261*'05 Methodology'!$B$7</f>
        <v>0</v>
      </c>
      <c r="L261" s="7">
        <f>J261*'05 Methodology'!$B$7</f>
        <v>0</v>
      </c>
      <c r="M261" s="7" t="str">
        <f>IF(G261=1,"FLAG / HOLD","INDEXED")</f>
        <v>INDEXED</v>
      </c>
      <c r="N261" s="1" t="str">
        <f>IF(H261=1,"FLAG / HOLD","INDEXED")</f>
        <v>INDEXED</v>
      </c>
      <c r="O261" s="1" t="s">
        <v>18</v>
      </c>
      <c r="P261" s="1" t="s">
        <v>19</v>
      </c>
      <c r="Q261" s="1"/>
      <c r="R261" s="1"/>
      <c r="S261" s="1"/>
      <c r="T261" s="1"/>
      <c r="U261" s="1"/>
    </row>
    <row r="262" spans="1:21" x14ac:dyDescent="0.2">
      <c r="A262" s="7" t="s">
        <v>282</v>
      </c>
      <c r="B262" s="7">
        <v>5</v>
      </c>
      <c r="C262" s="7">
        <v>5</v>
      </c>
      <c r="D262" s="7" t="str">
        <f>IF(B262=C262,"MATCH","MISMATCH")</f>
        <v>MATCH</v>
      </c>
      <c r="E262" s="7">
        <f>IF(F262="None",1,0)</f>
        <v>1</v>
      </c>
      <c r="F262" s="7" t="s">
        <v>17</v>
      </c>
      <c r="G262" s="7">
        <v>0</v>
      </c>
      <c r="H262" s="7">
        <v>0</v>
      </c>
      <c r="I262" s="7">
        <f>IF(AND(E262=0,G262=0),1,0)</f>
        <v>0</v>
      </c>
      <c r="J262" s="7">
        <f>IF(AND(E262=0,H262=0),1,0)</f>
        <v>0</v>
      </c>
      <c r="K262" s="7">
        <f>I262*'05 Methodology'!$B$7</f>
        <v>0</v>
      </c>
      <c r="L262" s="7">
        <f>J262*'05 Methodology'!$B$7</f>
        <v>0</v>
      </c>
      <c r="M262" s="7" t="str">
        <f>IF(G262=1,"FLAG / HOLD","INDEXED")</f>
        <v>INDEXED</v>
      </c>
      <c r="N262" s="1" t="str">
        <f>IF(H262=1,"FLAG / HOLD","INDEXED")</f>
        <v>INDEXED</v>
      </c>
      <c r="O262" s="1" t="s">
        <v>18</v>
      </c>
      <c r="P262" s="1" t="s">
        <v>19</v>
      </c>
      <c r="Q262" s="1"/>
      <c r="R262" s="1"/>
      <c r="S262" s="1"/>
      <c r="T262" s="1"/>
      <c r="U262" s="1"/>
    </row>
    <row r="263" spans="1:21" x14ac:dyDescent="0.2">
      <c r="A263" s="7" t="s">
        <v>283</v>
      </c>
      <c r="B263" s="7">
        <v>6</v>
      </c>
      <c r="C263" s="7">
        <v>6</v>
      </c>
      <c r="D263" s="7" t="str">
        <f>IF(B263=C263,"MATCH","MISMATCH")</f>
        <v>MATCH</v>
      </c>
      <c r="E263" s="7">
        <f>IF(F263="None",1,0)</f>
        <v>1</v>
      </c>
      <c r="F263" s="7" t="s">
        <v>17</v>
      </c>
      <c r="G263" s="7">
        <v>0</v>
      </c>
      <c r="H263" s="7">
        <v>0</v>
      </c>
      <c r="I263" s="7">
        <f>IF(AND(E263=0,G263=0),1,0)</f>
        <v>0</v>
      </c>
      <c r="J263" s="7">
        <f>IF(AND(E263=0,H263=0),1,0)</f>
        <v>0</v>
      </c>
      <c r="K263" s="7">
        <f>I263*'05 Methodology'!$B$7</f>
        <v>0</v>
      </c>
      <c r="L263" s="7">
        <f>J263*'05 Methodology'!$B$7</f>
        <v>0</v>
      </c>
      <c r="M263" s="7" t="str">
        <f>IF(G263=1,"FLAG / HOLD","INDEXED")</f>
        <v>INDEXED</v>
      </c>
      <c r="N263" s="1" t="str">
        <f>IF(H263=1,"FLAG / HOLD","INDEXED")</f>
        <v>INDEXED</v>
      </c>
      <c r="O263" s="1" t="s">
        <v>18</v>
      </c>
      <c r="P263" s="1" t="s">
        <v>19</v>
      </c>
      <c r="Q263" s="1"/>
      <c r="R263" s="1"/>
      <c r="S263" s="1"/>
      <c r="T263" s="1"/>
      <c r="U263" s="1"/>
    </row>
    <row r="264" spans="1:21" x14ac:dyDescent="0.2">
      <c r="A264" s="7" t="s">
        <v>284</v>
      </c>
      <c r="B264" s="7">
        <v>7</v>
      </c>
      <c r="C264" s="7">
        <v>7</v>
      </c>
      <c r="D264" s="7" t="str">
        <f>IF(B264=C264,"MATCH","MISMATCH")</f>
        <v>MATCH</v>
      </c>
      <c r="E264" s="7">
        <f>IF(F264="None",1,0)</f>
        <v>1</v>
      </c>
      <c r="F264" s="7" t="s">
        <v>17</v>
      </c>
      <c r="G264" s="7">
        <v>0</v>
      </c>
      <c r="H264" s="7">
        <v>0</v>
      </c>
      <c r="I264" s="7">
        <f>IF(AND(E264=0,G264=0),1,0)</f>
        <v>0</v>
      </c>
      <c r="J264" s="7">
        <f>IF(AND(E264=0,H264=0),1,0)</f>
        <v>0</v>
      </c>
      <c r="K264" s="7">
        <f>I264*'05 Methodology'!$B$7</f>
        <v>0</v>
      </c>
      <c r="L264" s="7">
        <f>J264*'05 Methodology'!$B$7</f>
        <v>0</v>
      </c>
      <c r="M264" s="7" t="str">
        <f>IF(G264=1,"FLAG / HOLD","INDEXED")</f>
        <v>INDEXED</v>
      </c>
      <c r="N264" s="1" t="str">
        <f>IF(H264=1,"FLAG / HOLD","INDEXED")</f>
        <v>INDEXED</v>
      </c>
      <c r="O264" s="1" t="s">
        <v>18</v>
      </c>
      <c r="P264" s="1" t="s">
        <v>19</v>
      </c>
      <c r="Q264" s="1"/>
      <c r="R264" s="1"/>
      <c r="S264" s="1"/>
      <c r="T264" s="1"/>
      <c r="U264" s="1"/>
    </row>
    <row r="265" spans="1:21" x14ac:dyDescent="0.2">
      <c r="A265" s="7" t="s">
        <v>285</v>
      </c>
      <c r="B265" s="7">
        <v>8</v>
      </c>
      <c r="C265" s="7">
        <v>8</v>
      </c>
      <c r="D265" s="7" t="str">
        <f>IF(B265=C265,"MATCH","MISMATCH")</f>
        <v>MATCH</v>
      </c>
      <c r="E265" s="7">
        <f>IF(F265="None",1,0)</f>
        <v>1</v>
      </c>
      <c r="F265" s="7" t="s">
        <v>17</v>
      </c>
      <c r="G265" s="7">
        <v>0</v>
      </c>
      <c r="H265" s="7">
        <v>0</v>
      </c>
      <c r="I265" s="7">
        <f>IF(AND(E265=0,G265=0),1,0)</f>
        <v>0</v>
      </c>
      <c r="J265" s="7">
        <f>IF(AND(E265=0,H265=0),1,0)</f>
        <v>0</v>
      </c>
      <c r="K265" s="7">
        <f>I265*'05 Methodology'!$B$7</f>
        <v>0</v>
      </c>
      <c r="L265" s="7">
        <f>J265*'05 Methodology'!$B$7</f>
        <v>0</v>
      </c>
      <c r="M265" s="7" t="str">
        <f>IF(G265=1,"FLAG / HOLD","INDEXED")</f>
        <v>INDEXED</v>
      </c>
      <c r="N265" s="1" t="str">
        <f>IF(H265=1,"FLAG / HOLD","INDEXED")</f>
        <v>INDEXED</v>
      </c>
      <c r="O265" s="1" t="s">
        <v>18</v>
      </c>
      <c r="P265" s="1" t="s">
        <v>19</v>
      </c>
      <c r="Q265" s="1"/>
      <c r="R265" s="1"/>
      <c r="S265" s="1"/>
      <c r="T265" s="1"/>
      <c r="U265" s="1"/>
    </row>
    <row r="266" spans="1:21" x14ac:dyDescent="0.2">
      <c r="A266" s="7" t="s">
        <v>286</v>
      </c>
      <c r="B266" s="7">
        <v>4</v>
      </c>
      <c r="C266" s="7">
        <v>4</v>
      </c>
      <c r="D266" s="7" t="str">
        <f>IF(B266=C266,"MATCH","MISMATCH")</f>
        <v>MATCH</v>
      </c>
      <c r="E266" s="7">
        <f>IF(F266="None",1,0)</f>
        <v>1</v>
      </c>
      <c r="F266" s="7" t="s">
        <v>17</v>
      </c>
      <c r="G266" s="7">
        <v>0</v>
      </c>
      <c r="H266" s="7">
        <v>0</v>
      </c>
      <c r="I266" s="7">
        <f>IF(AND(E266=0,G266=0),1,0)</f>
        <v>0</v>
      </c>
      <c r="J266" s="7">
        <f>IF(AND(E266=0,H266=0),1,0)</f>
        <v>0</v>
      </c>
      <c r="K266" s="7">
        <f>I266*'05 Methodology'!$B$7</f>
        <v>0</v>
      </c>
      <c r="L266" s="7">
        <f>J266*'05 Methodology'!$B$7</f>
        <v>0</v>
      </c>
      <c r="M266" s="7" t="str">
        <f>IF(G266=1,"FLAG / HOLD","INDEXED")</f>
        <v>INDEXED</v>
      </c>
      <c r="N266" s="1" t="str">
        <f>IF(H266=1,"FLAG / HOLD","INDEXED")</f>
        <v>INDEXED</v>
      </c>
      <c r="O266" s="1" t="s">
        <v>18</v>
      </c>
      <c r="P266" s="1" t="s">
        <v>19</v>
      </c>
      <c r="Q266" s="1"/>
      <c r="R266" s="1"/>
      <c r="S266" s="1"/>
      <c r="T266" s="1"/>
      <c r="U266" s="1"/>
    </row>
    <row r="267" spans="1:21" x14ac:dyDescent="0.2">
      <c r="A267" s="7" t="s">
        <v>287</v>
      </c>
      <c r="B267" s="7">
        <v>6</v>
      </c>
      <c r="C267" s="7">
        <v>6</v>
      </c>
      <c r="D267" s="7" t="str">
        <f>IF(B267=C267,"MATCH","MISMATCH")</f>
        <v>MATCH</v>
      </c>
      <c r="E267" s="7">
        <f>IF(F267="None",1,0)</f>
        <v>1</v>
      </c>
      <c r="F267" s="7" t="s">
        <v>17</v>
      </c>
      <c r="G267" s="7">
        <v>0</v>
      </c>
      <c r="H267" s="7">
        <v>0</v>
      </c>
      <c r="I267" s="7">
        <f>IF(AND(E267=0,G267=0),1,0)</f>
        <v>0</v>
      </c>
      <c r="J267" s="7">
        <f>IF(AND(E267=0,H267=0),1,0)</f>
        <v>0</v>
      </c>
      <c r="K267" s="7">
        <f>I267*'05 Methodology'!$B$7</f>
        <v>0</v>
      </c>
      <c r="L267" s="7">
        <f>J267*'05 Methodology'!$B$7</f>
        <v>0</v>
      </c>
      <c r="M267" s="7" t="str">
        <f>IF(G267=1,"FLAG / HOLD","INDEXED")</f>
        <v>INDEXED</v>
      </c>
      <c r="N267" s="1" t="str">
        <f>IF(H267=1,"FLAG / HOLD","INDEXED")</f>
        <v>INDEXED</v>
      </c>
      <c r="O267" s="1" t="s">
        <v>18</v>
      </c>
      <c r="P267" s="1" t="s">
        <v>19</v>
      </c>
      <c r="Q267" s="1"/>
      <c r="R267" s="1"/>
      <c r="S267" s="1"/>
      <c r="T267" s="1"/>
      <c r="U267" s="1"/>
    </row>
    <row r="268" spans="1:21" x14ac:dyDescent="0.2">
      <c r="A268" s="7" t="s">
        <v>288</v>
      </c>
      <c r="B268" s="7">
        <v>6</v>
      </c>
      <c r="C268" s="7">
        <v>6</v>
      </c>
      <c r="D268" s="7" t="str">
        <f>IF(B268=C268,"MATCH","MISMATCH")</f>
        <v>MATCH</v>
      </c>
      <c r="E268" s="7">
        <f>IF(F268="None",1,0)</f>
        <v>1</v>
      </c>
      <c r="F268" s="7" t="s">
        <v>17</v>
      </c>
      <c r="G268" s="7">
        <v>0</v>
      </c>
      <c r="H268" s="7">
        <v>0</v>
      </c>
      <c r="I268" s="7">
        <f>IF(AND(E268=0,G268=0),1,0)</f>
        <v>0</v>
      </c>
      <c r="J268" s="7">
        <f>IF(AND(E268=0,H268=0),1,0)</f>
        <v>0</v>
      </c>
      <c r="K268" s="7">
        <f>I268*'05 Methodology'!$B$7</f>
        <v>0</v>
      </c>
      <c r="L268" s="7">
        <f>J268*'05 Methodology'!$B$7</f>
        <v>0</v>
      </c>
      <c r="M268" s="7" t="str">
        <f>IF(G268=1,"FLAG / HOLD","INDEXED")</f>
        <v>INDEXED</v>
      </c>
      <c r="N268" s="1" t="str">
        <f>IF(H268=1,"FLAG / HOLD","INDEXED")</f>
        <v>INDEXED</v>
      </c>
      <c r="O268" s="1" t="s">
        <v>18</v>
      </c>
      <c r="P268" s="1" t="s">
        <v>19</v>
      </c>
      <c r="Q268" s="1"/>
      <c r="R268" s="1"/>
      <c r="S268" s="1"/>
      <c r="T268" s="1"/>
      <c r="U268" s="1"/>
    </row>
    <row r="269" spans="1:21" x14ac:dyDescent="0.2">
      <c r="A269" s="7" t="s">
        <v>289</v>
      </c>
      <c r="B269" s="7">
        <v>7</v>
      </c>
      <c r="C269" s="7">
        <v>7</v>
      </c>
      <c r="D269" s="7" t="str">
        <f>IF(B269=C269,"MATCH","MISMATCH")</f>
        <v>MATCH</v>
      </c>
      <c r="E269" s="7">
        <f>IF(F269="None",1,0)</f>
        <v>1</v>
      </c>
      <c r="F269" s="7" t="s">
        <v>17</v>
      </c>
      <c r="G269" s="7">
        <v>0</v>
      </c>
      <c r="H269" s="7">
        <v>0</v>
      </c>
      <c r="I269" s="7">
        <f>IF(AND(E269=0,G269=0),1,0)</f>
        <v>0</v>
      </c>
      <c r="J269" s="7">
        <f>IF(AND(E269=0,H269=0),1,0)</f>
        <v>0</v>
      </c>
      <c r="K269" s="7">
        <f>I269*'05 Methodology'!$B$7</f>
        <v>0</v>
      </c>
      <c r="L269" s="7">
        <f>J269*'05 Methodology'!$B$7</f>
        <v>0</v>
      </c>
      <c r="M269" s="7" t="str">
        <f>IF(G269=1,"FLAG / HOLD","INDEXED")</f>
        <v>INDEXED</v>
      </c>
      <c r="N269" s="1" t="str">
        <f>IF(H269=1,"FLAG / HOLD","INDEXED")</f>
        <v>INDEXED</v>
      </c>
      <c r="O269" s="1" t="s">
        <v>18</v>
      </c>
      <c r="P269" s="1" t="s">
        <v>19</v>
      </c>
      <c r="Q269" s="1"/>
      <c r="R269" s="1"/>
      <c r="S269" s="1"/>
      <c r="T269" s="1"/>
      <c r="U269" s="1"/>
    </row>
    <row r="270" spans="1:21" x14ac:dyDescent="0.2">
      <c r="A270" s="7" t="s">
        <v>290</v>
      </c>
      <c r="B270" s="7">
        <v>8</v>
      </c>
      <c r="C270" s="7">
        <v>8</v>
      </c>
      <c r="D270" s="7" t="str">
        <f>IF(B270=C270,"MATCH","MISMATCH")</f>
        <v>MATCH</v>
      </c>
      <c r="E270" s="7">
        <f>IF(F270="None",1,0)</f>
        <v>1</v>
      </c>
      <c r="F270" s="7" t="s">
        <v>17</v>
      </c>
      <c r="G270" s="7">
        <v>0</v>
      </c>
      <c r="H270" s="7">
        <v>0</v>
      </c>
      <c r="I270" s="7">
        <f>IF(AND(E270=0,G270=0),1,0)</f>
        <v>0</v>
      </c>
      <c r="J270" s="7">
        <f>IF(AND(E270=0,H270=0),1,0)</f>
        <v>0</v>
      </c>
      <c r="K270" s="7">
        <f>I270*'05 Methodology'!$B$7</f>
        <v>0</v>
      </c>
      <c r="L270" s="7">
        <f>J270*'05 Methodology'!$B$7</f>
        <v>0</v>
      </c>
      <c r="M270" s="7" t="str">
        <f>IF(G270=1,"FLAG / HOLD","INDEXED")</f>
        <v>INDEXED</v>
      </c>
      <c r="N270" s="1" t="str">
        <f>IF(H270=1,"FLAG / HOLD","INDEXED")</f>
        <v>INDEXED</v>
      </c>
      <c r="O270" s="1" t="s">
        <v>18</v>
      </c>
      <c r="P270" s="1" t="s">
        <v>19</v>
      </c>
      <c r="Q270" s="1"/>
      <c r="R270" s="1"/>
      <c r="S270" s="1"/>
      <c r="T270" s="1"/>
      <c r="U270" s="1"/>
    </row>
    <row r="271" spans="1:21" x14ac:dyDescent="0.2">
      <c r="A271" s="7" t="s">
        <v>291</v>
      </c>
      <c r="B271" s="7">
        <v>4</v>
      </c>
      <c r="C271" s="7">
        <v>4</v>
      </c>
      <c r="D271" s="7" t="str">
        <f>IF(B271=C271,"MATCH","MISMATCH")</f>
        <v>MATCH</v>
      </c>
      <c r="E271" s="7">
        <f>IF(F271="None",1,0)</f>
        <v>1</v>
      </c>
      <c r="F271" s="7" t="s">
        <v>17</v>
      </c>
      <c r="G271" s="7">
        <v>0</v>
      </c>
      <c r="H271" s="7">
        <v>0</v>
      </c>
      <c r="I271" s="7">
        <f>IF(AND(E271=0,G271=0),1,0)</f>
        <v>0</v>
      </c>
      <c r="J271" s="7">
        <f>IF(AND(E271=0,H271=0),1,0)</f>
        <v>0</v>
      </c>
      <c r="K271" s="7">
        <f>I271*'05 Methodology'!$B$7</f>
        <v>0</v>
      </c>
      <c r="L271" s="7">
        <f>J271*'05 Methodology'!$B$7</f>
        <v>0</v>
      </c>
      <c r="M271" s="7" t="str">
        <f>IF(G271=1,"FLAG / HOLD","INDEXED")</f>
        <v>INDEXED</v>
      </c>
      <c r="N271" s="1" t="str">
        <f>IF(H271=1,"FLAG / HOLD","INDEXED")</f>
        <v>INDEXED</v>
      </c>
      <c r="O271" s="1" t="s">
        <v>18</v>
      </c>
      <c r="P271" s="1" t="s">
        <v>19</v>
      </c>
      <c r="Q271" s="1"/>
      <c r="R271" s="1"/>
      <c r="S271" s="1"/>
      <c r="T271" s="1"/>
      <c r="U271" s="1"/>
    </row>
    <row r="272" spans="1:21" x14ac:dyDescent="0.2">
      <c r="A272" s="7" t="s">
        <v>292</v>
      </c>
      <c r="B272" s="7">
        <v>5</v>
      </c>
      <c r="C272" s="7">
        <v>5</v>
      </c>
      <c r="D272" s="7" t="str">
        <f>IF(B272=C272,"MATCH","MISMATCH")</f>
        <v>MATCH</v>
      </c>
      <c r="E272" s="7">
        <f>IF(F272="None",1,0)</f>
        <v>1</v>
      </c>
      <c r="F272" s="7" t="s">
        <v>17</v>
      </c>
      <c r="G272" s="7">
        <v>0</v>
      </c>
      <c r="H272" s="7">
        <v>0</v>
      </c>
      <c r="I272" s="7">
        <f>IF(AND(E272=0,G272=0),1,0)</f>
        <v>0</v>
      </c>
      <c r="J272" s="7">
        <f>IF(AND(E272=0,H272=0),1,0)</f>
        <v>0</v>
      </c>
      <c r="K272" s="7">
        <f>I272*'05 Methodology'!$B$7</f>
        <v>0</v>
      </c>
      <c r="L272" s="7">
        <f>J272*'05 Methodology'!$B$7</f>
        <v>0</v>
      </c>
      <c r="M272" s="7" t="str">
        <f>IF(G272=1,"FLAG / HOLD","INDEXED")</f>
        <v>INDEXED</v>
      </c>
      <c r="N272" s="1" t="str">
        <f>IF(H272=1,"FLAG / HOLD","INDEXED")</f>
        <v>INDEXED</v>
      </c>
      <c r="O272" s="1" t="s">
        <v>18</v>
      </c>
      <c r="P272" s="1" t="s">
        <v>19</v>
      </c>
      <c r="Q272" s="1"/>
      <c r="R272" s="1"/>
      <c r="S272" s="1"/>
      <c r="T272" s="1"/>
      <c r="U272" s="1"/>
    </row>
    <row r="273" spans="1:21" x14ac:dyDescent="0.2">
      <c r="A273" s="7" t="s">
        <v>293</v>
      </c>
      <c r="B273" s="7">
        <v>6</v>
      </c>
      <c r="C273" s="7">
        <v>6</v>
      </c>
      <c r="D273" s="7" t="str">
        <f>IF(B273=C273,"MATCH","MISMATCH")</f>
        <v>MATCH</v>
      </c>
      <c r="E273" s="7">
        <f>IF(F273="None",1,0)</f>
        <v>1</v>
      </c>
      <c r="F273" s="7" t="s">
        <v>17</v>
      </c>
      <c r="G273" s="7">
        <v>0</v>
      </c>
      <c r="H273" s="7">
        <v>0</v>
      </c>
      <c r="I273" s="7">
        <f>IF(AND(E273=0,G273=0),1,0)</f>
        <v>0</v>
      </c>
      <c r="J273" s="7">
        <f>IF(AND(E273=0,H273=0),1,0)</f>
        <v>0</v>
      </c>
      <c r="K273" s="7">
        <f>I273*'05 Methodology'!$B$7</f>
        <v>0</v>
      </c>
      <c r="L273" s="7">
        <f>J273*'05 Methodology'!$B$7</f>
        <v>0</v>
      </c>
      <c r="M273" s="7" t="str">
        <f>IF(G273=1,"FLAG / HOLD","INDEXED")</f>
        <v>INDEXED</v>
      </c>
      <c r="N273" s="1" t="str">
        <f>IF(H273=1,"FLAG / HOLD","INDEXED")</f>
        <v>INDEXED</v>
      </c>
      <c r="O273" s="1" t="s">
        <v>18</v>
      </c>
      <c r="P273" s="1" t="s">
        <v>19</v>
      </c>
      <c r="Q273" s="1"/>
      <c r="R273" s="1"/>
      <c r="S273" s="1"/>
      <c r="T273" s="1"/>
      <c r="U273" s="1"/>
    </row>
    <row r="274" spans="1:21" x14ac:dyDescent="0.2">
      <c r="A274" s="7" t="s">
        <v>294</v>
      </c>
      <c r="B274" s="7">
        <v>6</v>
      </c>
      <c r="C274" s="7">
        <v>6</v>
      </c>
      <c r="D274" s="7" t="str">
        <f>IF(B274=C274,"MATCH","MISMATCH")</f>
        <v>MATCH</v>
      </c>
      <c r="E274" s="7">
        <f>IF(F274="None",1,0)</f>
        <v>1</v>
      </c>
      <c r="F274" s="7" t="s">
        <v>17</v>
      </c>
      <c r="G274" s="7">
        <v>0</v>
      </c>
      <c r="H274" s="7">
        <v>0</v>
      </c>
      <c r="I274" s="7">
        <f>IF(AND(E274=0,G274=0),1,0)</f>
        <v>0</v>
      </c>
      <c r="J274" s="7">
        <f>IF(AND(E274=0,H274=0),1,0)</f>
        <v>0</v>
      </c>
      <c r="K274" s="7">
        <f>I274*'05 Methodology'!$B$7</f>
        <v>0</v>
      </c>
      <c r="L274" s="7">
        <f>J274*'05 Methodology'!$B$7</f>
        <v>0</v>
      </c>
      <c r="M274" s="7" t="str">
        <f>IF(G274=1,"FLAG / HOLD","INDEXED")</f>
        <v>INDEXED</v>
      </c>
      <c r="N274" s="1" t="str">
        <f>IF(H274=1,"FLAG / HOLD","INDEXED")</f>
        <v>INDEXED</v>
      </c>
      <c r="O274" s="1" t="s">
        <v>18</v>
      </c>
      <c r="P274" s="1" t="s">
        <v>19</v>
      </c>
      <c r="Q274" s="1"/>
      <c r="R274" s="1"/>
      <c r="S274" s="1"/>
      <c r="T274" s="1"/>
      <c r="U274" s="1"/>
    </row>
    <row r="275" spans="1:21" x14ac:dyDescent="0.2">
      <c r="A275" s="7" t="s">
        <v>295</v>
      </c>
      <c r="B275" s="7">
        <v>8</v>
      </c>
      <c r="C275" s="7">
        <v>8</v>
      </c>
      <c r="D275" s="7" t="str">
        <f>IF(B275=C275,"MATCH","MISMATCH")</f>
        <v>MATCH</v>
      </c>
      <c r="E275" s="7">
        <f>IF(F275="None",1,0)</f>
        <v>1</v>
      </c>
      <c r="F275" s="7" t="s">
        <v>17</v>
      </c>
      <c r="G275" s="7">
        <v>0</v>
      </c>
      <c r="H275" s="7">
        <v>0</v>
      </c>
      <c r="I275" s="7">
        <f>IF(AND(E275=0,G275=0),1,0)</f>
        <v>0</v>
      </c>
      <c r="J275" s="7">
        <f>IF(AND(E275=0,H275=0),1,0)</f>
        <v>0</v>
      </c>
      <c r="K275" s="7">
        <f>I275*'05 Methodology'!$B$7</f>
        <v>0</v>
      </c>
      <c r="L275" s="7">
        <f>J275*'05 Methodology'!$B$7</f>
        <v>0</v>
      </c>
      <c r="M275" s="7" t="str">
        <f>IF(G275=1,"FLAG / HOLD","INDEXED")</f>
        <v>INDEXED</v>
      </c>
      <c r="N275" s="1" t="str">
        <f>IF(H275=1,"FLAG / HOLD","INDEXED")</f>
        <v>INDEXED</v>
      </c>
      <c r="O275" s="1" t="s">
        <v>18</v>
      </c>
      <c r="P275" s="1" t="s">
        <v>19</v>
      </c>
      <c r="Q275" s="1"/>
      <c r="R275" s="1"/>
      <c r="S275" s="1"/>
      <c r="T275" s="1"/>
      <c r="U275" s="1"/>
    </row>
    <row r="276" spans="1:21" x14ac:dyDescent="0.2">
      <c r="A276" s="7" t="s">
        <v>296</v>
      </c>
      <c r="B276" s="7">
        <v>4</v>
      </c>
      <c r="C276" s="7">
        <v>4</v>
      </c>
      <c r="D276" s="7" t="str">
        <f>IF(B276=C276,"MATCH","MISMATCH")</f>
        <v>MATCH</v>
      </c>
      <c r="E276" s="7">
        <f>IF(F276="None",1,0)</f>
        <v>1</v>
      </c>
      <c r="F276" s="7" t="s">
        <v>17</v>
      </c>
      <c r="G276" s="7">
        <v>0</v>
      </c>
      <c r="H276" s="7">
        <v>0</v>
      </c>
      <c r="I276" s="7">
        <f>IF(AND(E276=0,G276=0),1,0)</f>
        <v>0</v>
      </c>
      <c r="J276" s="7">
        <f>IF(AND(E276=0,H276=0),1,0)</f>
        <v>0</v>
      </c>
      <c r="K276" s="7">
        <f>I276*'05 Methodology'!$B$7</f>
        <v>0</v>
      </c>
      <c r="L276" s="7">
        <f>J276*'05 Methodology'!$B$7</f>
        <v>0</v>
      </c>
      <c r="M276" s="7" t="str">
        <f>IF(G276=1,"FLAG / HOLD","INDEXED")</f>
        <v>INDEXED</v>
      </c>
      <c r="N276" s="1" t="str">
        <f>IF(H276=1,"FLAG / HOLD","INDEXED")</f>
        <v>INDEXED</v>
      </c>
      <c r="O276" s="1" t="s">
        <v>18</v>
      </c>
      <c r="P276" s="1" t="s">
        <v>19</v>
      </c>
      <c r="Q276" s="1"/>
      <c r="R276" s="1"/>
      <c r="S276" s="1"/>
      <c r="T276" s="1"/>
      <c r="U276" s="1"/>
    </row>
    <row r="277" spans="1:21" x14ac:dyDescent="0.2">
      <c r="A277" s="7" t="s">
        <v>297</v>
      </c>
      <c r="B277" s="7">
        <v>5</v>
      </c>
      <c r="C277" s="7">
        <v>5</v>
      </c>
      <c r="D277" s="7" t="str">
        <f>IF(B277=C277,"MATCH","MISMATCH")</f>
        <v>MATCH</v>
      </c>
      <c r="E277" s="7">
        <f>IF(F277="None",1,0)</f>
        <v>1</v>
      </c>
      <c r="F277" s="7" t="s">
        <v>17</v>
      </c>
      <c r="G277" s="7">
        <v>0</v>
      </c>
      <c r="H277" s="7">
        <v>0</v>
      </c>
      <c r="I277" s="7">
        <f>IF(AND(E277=0,G277=0),1,0)</f>
        <v>0</v>
      </c>
      <c r="J277" s="7">
        <f>IF(AND(E277=0,H277=0),1,0)</f>
        <v>0</v>
      </c>
      <c r="K277" s="7">
        <f>I277*'05 Methodology'!$B$7</f>
        <v>0</v>
      </c>
      <c r="L277" s="7">
        <f>J277*'05 Methodology'!$B$7</f>
        <v>0</v>
      </c>
      <c r="M277" s="7" t="str">
        <f>IF(G277=1,"FLAG / HOLD","INDEXED")</f>
        <v>INDEXED</v>
      </c>
      <c r="N277" s="1" t="str">
        <f>IF(H277=1,"FLAG / HOLD","INDEXED")</f>
        <v>INDEXED</v>
      </c>
      <c r="O277" s="1" t="s">
        <v>18</v>
      </c>
      <c r="P277" s="1" t="s">
        <v>19</v>
      </c>
      <c r="Q277" s="1"/>
      <c r="R277" s="1"/>
      <c r="S277" s="1"/>
      <c r="T277" s="1"/>
      <c r="U277" s="1"/>
    </row>
    <row r="278" spans="1:21" x14ac:dyDescent="0.2">
      <c r="A278" s="7" t="s">
        <v>298</v>
      </c>
      <c r="B278" s="7">
        <v>6</v>
      </c>
      <c r="C278" s="7">
        <v>6</v>
      </c>
      <c r="D278" s="7" t="str">
        <f>IF(B278=C278,"MATCH","MISMATCH")</f>
        <v>MATCH</v>
      </c>
      <c r="E278" s="7">
        <f>IF(F278="None",1,0)</f>
        <v>1</v>
      </c>
      <c r="F278" s="7" t="s">
        <v>17</v>
      </c>
      <c r="G278" s="7">
        <v>0</v>
      </c>
      <c r="H278" s="7">
        <v>0</v>
      </c>
      <c r="I278" s="7">
        <f>IF(AND(E278=0,G278=0),1,0)</f>
        <v>0</v>
      </c>
      <c r="J278" s="7">
        <f>IF(AND(E278=0,H278=0),1,0)</f>
        <v>0</v>
      </c>
      <c r="K278" s="7">
        <f>I278*'05 Methodology'!$B$7</f>
        <v>0</v>
      </c>
      <c r="L278" s="7">
        <f>J278*'05 Methodology'!$B$7</f>
        <v>0</v>
      </c>
      <c r="M278" s="7" t="str">
        <f>IF(G278=1,"FLAG / HOLD","INDEXED")</f>
        <v>INDEXED</v>
      </c>
      <c r="N278" s="1" t="str">
        <f>IF(H278=1,"FLAG / HOLD","INDEXED")</f>
        <v>INDEXED</v>
      </c>
      <c r="O278" s="1" t="s">
        <v>18</v>
      </c>
      <c r="P278" s="1" t="s">
        <v>19</v>
      </c>
      <c r="Q278" s="1"/>
      <c r="R278" s="1"/>
      <c r="S278" s="1"/>
      <c r="T278" s="1"/>
      <c r="U278" s="1"/>
    </row>
    <row r="279" spans="1:21" x14ac:dyDescent="0.2">
      <c r="A279" s="7" t="s">
        <v>299</v>
      </c>
      <c r="B279" s="7">
        <v>7</v>
      </c>
      <c r="C279" s="7">
        <v>7</v>
      </c>
      <c r="D279" s="7" t="str">
        <f>IF(B279=C279,"MATCH","MISMATCH")</f>
        <v>MATCH</v>
      </c>
      <c r="E279" s="7">
        <f>IF(F279="None",1,0)</f>
        <v>1</v>
      </c>
      <c r="F279" s="7" t="s">
        <v>17</v>
      </c>
      <c r="G279" s="7">
        <v>0</v>
      </c>
      <c r="H279" s="7">
        <v>0</v>
      </c>
      <c r="I279" s="7">
        <f>IF(AND(E279=0,G279=0),1,0)</f>
        <v>0</v>
      </c>
      <c r="J279" s="7">
        <f>IF(AND(E279=0,H279=0),1,0)</f>
        <v>0</v>
      </c>
      <c r="K279" s="7">
        <f>I279*'05 Methodology'!$B$7</f>
        <v>0</v>
      </c>
      <c r="L279" s="7">
        <f>J279*'05 Methodology'!$B$7</f>
        <v>0</v>
      </c>
      <c r="M279" s="7" t="str">
        <f>IF(G279=1,"FLAG / HOLD","INDEXED")</f>
        <v>INDEXED</v>
      </c>
      <c r="N279" s="1" t="str">
        <f>IF(H279=1,"FLAG / HOLD","INDEXED")</f>
        <v>INDEXED</v>
      </c>
      <c r="O279" s="1" t="s">
        <v>18</v>
      </c>
      <c r="P279" s="1" t="s">
        <v>19</v>
      </c>
      <c r="Q279" s="1"/>
      <c r="R279" s="1"/>
      <c r="S279" s="1"/>
      <c r="T279" s="1"/>
      <c r="U279" s="1"/>
    </row>
    <row r="280" spans="1:21" x14ac:dyDescent="0.2">
      <c r="A280" s="7" t="s">
        <v>300</v>
      </c>
      <c r="B280" s="7">
        <v>8</v>
      </c>
      <c r="C280" s="7">
        <v>8</v>
      </c>
      <c r="D280" s="7" t="str">
        <f>IF(B280=C280,"MATCH","MISMATCH")</f>
        <v>MATCH</v>
      </c>
      <c r="E280" s="7">
        <f>IF(F280="None",1,0)</f>
        <v>1</v>
      </c>
      <c r="F280" s="7" t="s">
        <v>17</v>
      </c>
      <c r="G280" s="7">
        <v>0</v>
      </c>
      <c r="H280" s="7">
        <v>0</v>
      </c>
      <c r="I280" s="7">
        <f>IF(AND(E280=0,G280=0),1,0)</f>
        <v>0</v>
      </c>
      <c r="J280" s="7">
        <f>IF(AND(E280=0,H280=0),1,0)</f>
        <v>0</v>
      </c>
      <c r="K280" s="7">
        <f>I280*'05 Methodology'!$B$7</f>
        <v>0</v>
      </c>
      <c r="L280" s="7">
        <f>J280*'05 Methodology'!$B$7</f>
        <v>0</v>
      </c>
      <c r="M280" s="7" t="str">
        <f>IF(G280=1,"FLAG / HOLD","INDEXED")</f>
        <v>INDEXED</v>
      </c>
      <c r="N280" s="1" t="str">
        <f>IF(H280=1,"FLAG / HOLD","INDEXED")</f>
        <v>INDEXED</v>
      </c>
      <c r="O280" s="1" t="s">
        <v>18</v>
      </c>
      <c r="P280" s="1" t="s">
        <v>19</v>
      </c>
      <c r="Q280" s="1"/>
      <c r="R280" s="1"/>
      <c r="S280" s="1"/>
      <c r="T280" s="1"/>
      <c r="U280" s="1"/>
    </row>
    <row r="281" spans="1:21" x14ac:dyDescent="0.2">
      <c r="A281" s="7" t="s">
        <v>301</v>
      </c>
      <c r="B281" s="7">
        <v>6</v>
      </c>
      <c r="C281" s="7">
        <v>6</v>
      </c>
      <c r="D281" s="7" t="str">
        <f>IF(B281=C281,"MATCH","MISMATCH")</f>
        <v>MATCH</v>
      </c>
      <c r="E281" s="7">
        <f>IF(F281="None",1,0)</f>
        <v>1</v>
      </c>
      <c r="F281" s="7" t="s">
        <v>17</v>
      </c>
      <c r="G281" s="7">
        <v>0</v>
      </c>
      <c r="H281" s="7">
        <v>0</v>
      </c>
      <c r="I281" s="7">
        <f>IF(AND(E281=0,G281=0),1,0)</f>
        <v>0</v>
      </c>
      <c r="J281" s="7">
        <f>IF(AND(E281=0,H281=0),1,0)</f>
        <v>0</v>
      </c>
      <c r="K281" s="7">
        <f>I281*'05 Methodology'!$B$7</f>
        <v>0</v>
      </c>
      <c r="L281" s="7">
        <f>J281*'05 Methodology'!$B$7</f>
        <v>0</v>
      </c>
      <c r="M281" s="7" t="str">
        <f>IF(G281=1,"FLAG / HOLD","INDEXED")</f>
        <v>INDEXED</v>
      </c>
      <c r="N281" s="1" t="str">
        <f>IF(H281=1,"FLAG / HOLD","INDEXED")</f>
        <v>INDEXED</v>
      </c>
      <c r="O281" s="1" t="s">
        <v>18</v>
      </c>
      <c r="P281" s="1" t="s">
        <v>19</v>
      </c>
      <c r="Q281" s="1"/>
      <c r="R281" s="1"/>
      <c r="S281" s="1"/>
      <c r="T281" s="1"/>
      <c r="U281" s="1"/>
    </row>
    <row r="282" spans="1:21" x14ac:dyDescent="0.2">
      <c r="A282" s="7" t="s">
        <v>302</v>
      </c>
      <c r="B282" s="7">
        <v>5</v>
      </c>
      <c r="C282" s="7">
        <v>5</v>
      </c>
      <c r="D282" s="7" t="str">
        <f>IF(B282=C282,"MATCH","MISMATCH")</f>
        <v>MATCH</v>
      </c>
      <c r="E282" s="7">
        <f>IF(F282="None",1,0)</f>
        <v>1</v>
      </c>
      <c r="F282" s="7" t="s">
        <v>17</v>
      </c>
      <c r="G282" s="7">
        <v>0</v>
      </c>
      <c r="H282" s="7">
        <v>0</v>
      </c>
      <c r="I282" s="7">
        <f>IF(AND(E282=0,G282=0),1,0)</f>
        <v>0</v>
      </c>
      <c r="J282" s="7">
        <f>IF(AND(E282=0,H282=0),1,0)</f>
        <v>0</v>
      </c>
      <c r="K282" s="7">
        <f>I282*'05 Methodology'!$B$7</f>
        <v>0</v>
      </c>
      <c r="L282" s="7">
        <f>J282*'05 Methodology'!$B$7</f>
        <v>0</v>
      </c>
      <c r="M282" s="7" t="str">
        <f>IF(G282=1,"FLAG / HOLD","INDEXED")</f>
        <v>INDEXED</v>
      </c>
      <c r="N282" s="1" t="str">
        <f>IF(H282=1,"FLAG / HOLD","INDEXED")</f>
        <v>INDEXED</v>
      </c>
      <c r="O282" s="1" t="s">
        <v>18</v>
      </c>
      <c r="P282" s="1" t="s">
        <v>19</v>
      </c>
      <c r="Q282" s="1"/>
      <c r="R282" s="1"/>
      <c r="S282" s="1"/>
      <c r="T282" s="1"/>
      <c r="U282" s="1"/>
    </row>
    <row r="283" spans="1:21" x14ac:dyDescent="0.2">
      <c r="A283" s="7" t="s">
        <v>303</v>
      </c>
      <c r="B283" s="7">
        <v>6</v>
      </c>
      <c r="C283" s="7">
        <v>6</v>
      </c>
      <c r="D283" s="7" t="str">
        <f>IF(B283=C283,"MATCH","MISMATCH")</f>
        <v>MATCH</v>
      </c>
      <c r="E283" s="7">
        <f>IF(F283="None",1,0)</f>
        <v>1</v>
      </c>
      <c r="F283" s="7" t="s">
        <v>17</v>
      </c>
      <c r="G283" s="7">
        <v>0</v>
      </c>
      <c r="H283" s="7">
        <v>0</v>
      </c>
      <c r="I283" s="7">
        <f>IF(AND(E283=0,G283=0),1,0)</f>
        <v>0</v>
      </c>
      <c r="J283" s="7">
        <f>IF(AND(E283=0,H283=0),1,0)</f>
        <v>0</v>
      </c>
      <c r="K283" s="7">
        <f>I283*'05 Methodology'!$B$7</f>
        <v>0</v>
      </c>
      <c r="L283" s="7">
        <f>J283*'05 Methodology'!$B$7</f>
        <v>0</v>
      </c>
      <c r="M283" s="7" t="str">
        <f>IF(G283=1,"FLAG / HOLD","INDEXED")</f>
        <v>INDEXED</v>
      </c>
      <c r="N283" s="1" t="str">
        <f>IF(H283=1,"FLAG / HOLD","INDEXED")</f>
        <v>INDEXED</v>
      </c>
      <c r="O283" s="1" t="s">
        <v>18</v>
      </c>
      <c r="P283" s="1" t="s">
        <v>19</v>
      </c>
      <c r="Q283" s="1"/>
      <c r="R283" s="1"/>
      <c r="S283" s="1"/>
      <c r="T283" s="1"/>
      <c r="U283" s="1"/>
    </row>
    <row r="284" spans="1:21" x14ac:dyDescent="0.2">
      <c r="A284" s="7" t="s">
        <v>304</v>
      </c>
      <c r="B284" s="7">
        <v>7</v>
      </c>
      <c r="C284" s="7">
        <v>7</v>
      </c>
      <c r="D284" s="7" t="str">
        <f>IF(B284=C284,"MATCH","MISMATCH")</f>
        <v>MATCH</v>
      </c>
      <c r="E284" s="7">
        <f>IF(F284="None",1,0)</f>
        <v>1</v>
      </c>
      <c r="F284" s="7" t="s">
        <v>17</v>
      </c>
      <c r="G284" s="7">
        <v>0</v>
      </c>
      <c r="H284" s="7">
        <v>0</v>
      </c>
      <c r="I284" s="7">
        <f>IF(AND(E284=0,G284=0),1,0)</f>
        <v>0</v>
      </c>
      <c r="J284" s="7">
        <f>IF(AND(E284=0,H284=0),1,0)</f>
        <v>0</v>
      </c>
      <c r="K284" s="7">
        <f>I284*'05 Methodology'!$B$7</f>
        <v>0</v>
      </c>
      <c r="L284" s="7">
        <f>J284*'05 Methodology'!$B$7</f>
        <v>0</v>
      </c>
      <c r="M284" s="7" t="str">
        <f>IF(G284=1,"FLAG / HOLD","INDEXED")</f>
        <v>INDEXED</v>
      </c>
      <c r="N284" s="1" t="str">
        <f>IF(H284=1,"FLAG / HOLD","INDEXED")</f>
        <v>INDEXED</v>
      </c>
      <c r="O284" s="1" t="s">
        <v>18</v>
      </c>
      <c r="P284" s="1" t="s">
        <v>19</v>
      </c>
      <c r="Q284" s="1"/>
      <c r="R284" s="1"/>
      <c r="S284" s="1"/>
      <c r="T284" s="1"/>
      <c r="U284" s="1"/>
    </row>
    <row r="285" spans="1:21" x14ac:dyDescent="0.2">
      <c r="A285" s="7" t="s">
        <v>305</v>
      </c>
      <c r="B285" s="7">
        <v>8</v>
      </c>
      <c r="C285" s="7">
        <v>7</v>
      </c>
      <c r="D285" s="7" t="str">
        <f>IF(B285=C285,"MATCH","MISMATCH")</f>
        <v>MISMATCH</v>
      </c>
      <c r="E285" s="7">
        <f>IF(F285="None",1,0)</f>
        <v>0</v>
      </c>
      <c r="F285" s="7" t="s">
        <v>38</v>
      </c>
      <c r="G285" s="7">
        <v>0</v>
      </c>
      <c r="H285" s="7">
        <v>1</v>
      </c>
      <c r="I285" s="7">
        <f>IF(AND(E285=0,G285=0),1,0)</f>
        <v>1</v>
      </c>
      <c r="J285" s="7">
        <f>IF(AND(E285=0,H285=0),1,0)</f>
        <v>0</v>
      </c>
      <c r="K285" s="7">
        <f>I285*'05 Methodology'!$B$7</f>
        <v>20</v>
      </c>
      <c r="L285" s="7">
        <f>J285*'05 Methodology'!$B$7</f>
        <v>0</v>
      </c>
      <c r="M285" s="7" t="str">
        <f>IF(G285=1,"FLAG / HOLD","INDEXED")</f>
        <v>INDEXED</v>
      </c>
      <c r="N285" s="1" t="str">
        <f>IF(H285=1,"FLAG / HOLD","INDEXED")</f>
        <v>FLAG / HOLD</v>
      </c>
      <c r="O285" s="1" t="s">
        <v>18</v>
      </c>
      <c r="P285" s="1" t="s">
        <v>19</v>
      </c>
      <c r="Q285" s="1"/>
      <c r="R285" s="1"/>
      <c r="S285" s="1"/>
      <c r="T285" s="1"/>
      <c r="U285" s="1"/>
    </row>
    <row r="286" spans="1:21" x14ac:dyDescent="0.2">
      <c r="A286" s="7" t="s">
        <v>306</v>
      </c>
      <c r="B286" s="7">
        <v>4</v>
      </c>
      <c r="C286" s="7">
        <v>4</v>
      </c>
      <c r="D286" s="7" t="str">
        <f>IF(B286=C286,"MATCH","MISMATCH")</f>
        <v>MATCH</v>
      </c>
      <c r="E286" s="7">
        <f>IF(F286="None",1,0)</f>
        <v>1</v>
      </c>
      <c r="F286" s="7" t="s">
        <v>17</v>
      </c>
      <c r="G286" s="7">
        <v>0</v>
      </c>
      <c r="H286" s="7">
        <v>0</v>
      </c>
      <c r="I286" s="7">
        <f>IF(AND(E286=0,G286=0),1,0)</f>
        <v>0</v>
      </c>
      <c r="J286" s="7">
        <f>IF(AND(E286=0,H286=0),1,0)</f>
        <v>0</v>
      </c>
      <c r="K286" s="7">
        <f>I286*'05 Methodology'!$B$7</f>
        <v>0</v>
      </c>
      <c r="L286" s="7">
        <f>J286*'05 Methodology'!$B$7</f>
        <v>0</v>
      </c>
      <c r="M286" s="7" t="str">
        <f>IF(G286=1,"FLAG / HOLD","INDEXED")</f>
        <v>INDEXED</v>
      </c>
      <c r="N286" s="1" t="str">
        <f>IF(H286=1,"FLAG / HOLD","INDEXED")</f>
        <v>INDEXED</v>
      </c>
      <c r="O286" s="1" t="s">
        <v>18</v>
      </c>
      <c r="P286" s="1" t="s">
        <v>19</v>
      </c>
      <c r="Q286" s="1"/>
      <c r="R286" s="1"/>
      <c r="S286" s="1"/>
      <c r="T286" s="1"/>
      <c r="U286" s="1"/>
    </row>
    <row r="287" spans="1:21" x14ac:dyDescent="0.2">
      <c r="A287" s="7" t="s">
        <v>307</v>
      </c>
      <c r="B287" s="7">
        <v>5</v>
      </c>
      <c r="C287" s="7">
        <v>5</v>
      </c>
      <c r="D287" s="7" t="str">
        <f>IF(B287=C287,"MATCH","MISMATCH")</f>
        <v>MATCH</v>
      </c>
      <c r="E287" s="7">
        <f>IF(F287="None",1,0)</f>
        <v>1</v>
      </c>
      <c r="F287" s="7" t="s">
        <v>17</v>
      </c>
      <c r="G287" s="7">
        <v>0</v>
      </c>
      <c r="H287" s="7">
        <v>0</v>
      </c>
      <c r="I287" s="7">
        <f>IF(AND(E287=0,G287=0),1,0)</f>
        <v>0</v>
      </c>
      <c r="J287" s="7">
        <f>IF(AND(E287=0,H287=0),1,0)</f>
        <v>0</v>
      </c>
      <c r="K287" s="7">
        <f>I287*'05 Methodology'!$B$7</f>
        <v>0</v>
      </c>
      <c r="L287" s="7">
        <f>J287*'05 Methodology'!$B$7</f>
        <v>0</v>
      </c>
      <c r="M287" s="7" t="str">
        <f>IF(G287=1,"FLAG / HOLD","INDEXED")</f>
        <v>INDEXED</v>
      </c>
      <c r="N287" s="1" t="str">
        <f>IF(H287=1,"FLAG / HOLD","INDEXED")</f>
        <v>INDEXED</v>
      </c>
      <c r="O287" s="1" t="s">
        <v>18</v>
      </c>
      <c r="P287" s="1" t="s">
        <v>19</v>
      </c>
      <c r="Q287" s="1"/>
      <c r="R287" s="1"/>
      <c r="S287" s="1"/>
      <c r="T287" s="1"/>
      <c r="U287" s="1"/>
    </row>
    <row r="288" spans="1:21" x14ac:dyDescent="0.2">
      <c r="A288" s="7" t="s">
        <v>308</v>
      </c>
      <c r="B288" s="7">
        <v>6</v>
      </c>
      <c r="C288" s="7">
        <v>6</v>
      </c>
      <c r="D288" s="7" t="str">
        <f>IF(B288=C288,"MATCH","MISMATCH")</f>
        <v>MATCH</v>
      </c>
      <c r="E288" s="7">
        <f>IF(F288="None",1,0)</f>
        <v>1</v>
      </c>
      <c r="F288" s="7" t="s">
        <v>17</v>
      </c>
      <c r="G288" s="7">
        <v>0</v>
      </c>
      <c r="H288" s="7">
        <v>0</v>
      </c>
      <c r="I288" s="7">
        <f>IF(AND(E288=0,G288=0),1,0)</f>
        <v>0</v>
      </c>
      <c r="J288" s="7">
        <f>IF(AND(E288=0,H288=0),1,0)</f>
        <v>0</v>
      </c>
      <c r="K288" s="7">
        <f>I288*'05 Methodology'!$B$7</f>
        <v>0</v>
      </c>
      <c r="L288" s="7">
        <f>J288*'05 Methodology'!$B$7</f>
        <v>0</v>
      </c>
      <c r="M288" s="7" t="str">
        <f>IF(G288=1,"FLAG / HOLD","INDEXED")</f>
        <v>INDEXED</v>
      </c>
      <c r="N288" s="1" t="str">
        <f>IF(H288=1,"FLAG / HOLD","INDEXED")</f>
        <v>INDEXED</v>
      </c>
      <c r="O288" s="1" t="s">
        <v>18</v>
      </c>
      <c r="P288" s="1" t="s">
        <v>19</v>
      </c>
      <c r="Q288" s="1"/>
      <c r="R288" s="1"/>
      <c r="S288" s="1"/>
      <c r="T288" s="1"/>
      <c r="U288" s="1"/>
    </row>
    <row r="289" spans="1:21" x14ac:dyDescent="0.2">
      <c r="A289" s="7" t="s">
        <v>309</v>
      </c>
      <c r="B289" s="7">
        <v>7</v>
      </c>
      <c r="C289" s="7">
        <v>7</v>
      </c>
      <c r="D289" s="7" t="str">
        <f>IF(B289=C289,"MATCH","MISMATCH")</f>
        <v>MATCH</v>
      </c>
      <c r="E289" s="7">
        <f>IF(F289="None",1,0)</f>
        <v>1</v>
      </c>
      <c r="F289" s="7" t="s">
        <v>17</v>
      </c>
      <c r="G289" s="7">
        <v>0</v>
      </c>
      <c r="H289" s="7">
        <v>0</v>
      </c>
      <c r="I289" s="7">
        <f>IF(AND(E289=0,G289=0),1,0)</f>
        <v>0</v>
      </c>
      <c r="J289" s="7">
        <f>IF(AND(E289=0,H289=0),1,0)</f>
        <v>0</v>
      </c>
      <c r="K289" s="7">
        <f>I289*'05 Methodology'!$B$7</f>
        <v>0</v>
      </c>
      <c r="L289" s="7">
        <f>J289*'05 Methodology'!$B$7</f>
        <v>0</v>
      </c>
      <c r="M289" s="7" t="str">
        <f>IF(G289=1,"FLAG / HOLD","INDEXED")</f>
        <v>INDEXED</v>
      </c>
      <c r="N289" s="1" t="str">
        <f>IF(H289=1,"FLAG / HOLD","INDEXED")</f>
        <v>INDEXED</v>
      </c>
      <c r="O289" s="1" t="s">
        <v>18</v>
      </c>
      <c r="P289" s="1" t="s">
        <v>19</v>
      </c>
      <c r="Q289" s="1"/>
      <c r="R289" s="1"/>
      <c r="S289" s="1"/>
      <c r="T289" s="1"/>
      <c r="U289" s="1"/>
    </row>
    <row r="290" spans="1:21" x14ac:dyDescent="0.2">
      <c r="A290" s="7" t="s">
        <v>310</v>
      </c>
      <c r="B290" s="7">
        <v>8</v>
      </c>
      <c r="C290" s="7">
        <v>8</v>
      </c>
      <c r="D290" s="7" t="str">
        <f>IF(B290=C290,"MATCH","MISMATCH")</f>
        <v>MATCH</v>
      </c>
      <c r="E290" s="7">
        <f>IF(F290="None",1,0)</f>
        <v>1</v>
      </c>
      <c r="F290" s="7" t="s">
        <v>17</v>
      </c>
      <c r="G290" s="7">
        <v>0</v>
      </c>
      <c r="H290" s="7">
        <v>0</v>
      </c>
      <c r="I290" s="7">
        <f>IF(AND(E290=0,G290=0),1,0)</f>
        <v>0</v>
      </c>
      <c r="J290" s="7">
        <f>IF(AND(E290=0,H290=0),1,0)</f>
        <v>0</v>
      </c>
      <c r="K290" s="7">
        <f>I290*'05 Methodology'!$B$7</f>
        <v>0</v>
      </c>
      <c r="L290" s="7">
        <f>J290*'05 Methodology'!$B$7</f>
        <v>0</v>
      </c>
      <c r="M290" s="7" t="str">
        <f>IF(G290=1,"FLAG / HOLD","INDEXED")</f>
        <v>INDEXED</v>
      </c>
      <c r="N290" s="1" t="str">
        <f>IF(H290=1,"FLAG / HOLD","INDEXED")</f>
        <v>INDEXED</v>
      </c>
      <c r="O290" s="1" t="s">
        <v>18</v>
      </c>
      <c r="P290" s="1" t="s">
        <v>19</v>
      </c>
      <c r="Q290" s="1"/>
      <c r="R290" s="1"/>
      <c r="S290" s="1"/>
      <c r="T290" s="1"/>
      <c r="U290" s="1"/>
    </row>
    <row r="291" spans="1:21" x14ac:dyDescent="0.2">
      <c r="A291" s="7" t="s">
        <v>311</v>
      </c>
      <c r="B291" s="7">
        <v>4</v>
      </c>
      <c r="C291" s="7">
        <v>4</v>
      </c>
      <c r="D291" s="7" t="str">
        <f>IF(B291=C291,"MATCH","MISMATCH")</f>
        <v>MATCH</v>
      </c>
      <c r="E291" s="7">
        <f>IF(F291="None",1,0)</f>
        <v>1</v>
      </c>
      <c r="F291" s="7" t="s">
        <v>17</v>
      </c>
      <c r="G291" s="7">
        <v>0</v>
      </c>
      <c r="H291" s="7">
        <v>0</v>
      </c>
      <c r="I291" s="7">
        <f>IF(AND(E291=0,G291=0),1,0)</f>
        <v>0</v>
      </c>
      <c r="J291" s="7">
        <f>IF(AND(E291=0,H291=0),1,0)</f>
        <v>0</v>
      </c>
      <c r="K291" s="7">
        <f>I291*'05 Methodology'!$B$7</f>
        <v>0</v>
      </c>
      <c r="L291" s="7">
        <f>J291*'05 Methodology'!$B$7</f>
        <v>0</v>
      </c>
      <c r="M291" s="7" t="str">
        <f>IF(G291=1,"FLAG / HOLD","INDEXED")</f>
        <v>INDEXED</v>
      </c>
      <c r="N291" s="1" t="str">
        <f>IF(H291=1,"FLAG / HOLD","INDEXED")</f>
        <v>INDEXED</v>
      </c>
      <c r="O291" s="1" t="s">
        <v>18</v>
      </c>
      <c r="P291" s="1" t="s">
        <v>19</v>
      </c>
      <c r="Q291" s="1"/>
      <c r="R291" s="1"/>
      <c r="S291" s="1"/>
      <c r="T291" s="1"/>
      <c r="U291" s="1"/>
    </row>
    <row r="292" spans="1:21" x14ac:dyDescent="0.2">
      <c r="A292" s="7" t="s">
        <v>312</v>
      </c>
      <c r="B292" s="7">
        <v>5</v>
      </c>
      <c r="C292" s="7">
        <v>5</v>
      </c>
      <c r="D292" s="7" t="str">
        <f>IF(B292=C292,"MATCH","MISMATCH")</f>
        <v>MATCH</v>
      </c>
      <c r="E292" s="7">
        <f>IF(F292="None",1,0)</f>
        <v>1</v>
      </c>
      <c r="F292" s="7" t="s">
        <v>17</v>
      </c>
      <c r="G292" s="7">
        <v>0</v>
      </c>
      <c r="H292" s="7">
        <v>0</v>
      </c>
      <c r="I292" s="7">
        <f>IF(AND(E292=0,G292=0),1,0)</f>
        <v>0</v>
      </c>
      <c r="J292" s="7">
        <f>IF(AND(E292=0,H292=0),1,0)</f>
        <v>0</v>
      </c>
      <c r="K292" s="7">
        <f>I292*'05 Methodology'!$B$7</f>
        <v>0</v>
      </c>
      <c r="L292" s="7">
        <f>J292*'05 Methodology'!$B$7</f>
        <v>0</v>
      </c>
      <c r="M292" s="7" t="str">
        <f>IF(G292=1,"FLAG / HOLD","INDEXED")</f>
        <v>INDEXED</v>
      </c>
      <c r="N292" s="1" t="str">
        <f>IF(H292=1,"FLAG / HOLD","INDEXED")</f>
        <v>INDEXED</v>
      </c>
      <c r="O292" s="1" t="s">
        <v>18</v>
      </c>
      <c r="P292" s="1" t="s">
        <v>19</v>
      </c>
      <c r="Q292" s="1"/>
      <c r="R292" s="1"/>
      <c r="S292" s="1"/>
      <c r="T292" s="1"/>
      <c r="U292" s="1"/>
    </row>
    <row r="293" spans="1:21" x14ac:dyDescent="0.2">
      <c r="A293" s="7" t="s">
        <v>313</v>
      </c>
      <c r="B293" s="7">
        <v>6</v>
      </c>
      <c r="C293" s="7">
        <v>6</v>
      </c>
      <c r="D293" s="7" t="str">
        <f>IF(B293=C293,"MATCH","MISMATCH")</f>
        <v>MATCH</v>
      </c>
      <c r="E293" s="7">
        <f>IF(F293="None",1,0)</f>
        <v>1</v>
      </c>
      <c r="F293" s="7" t="s">
        <v>17</v>
      </c>
      <c r="G293" s="7">
        <v>0</v>
      </c>
      <c r="H293" s="7">
        <v>0</v>
      </c>
      <c r="I293" s="7">
        <f>IF(AND(E293=0,G293=0),1,0)</f>
        <v>0</v>
      </c>
      <c r="J293" s="7">
        <f>IF(AND(E293=0,H293=0),1,0)</f>
        <v>0</v>
      </c>
      <c r="K293" s="7">
        <f>I293*'05 Methodology'!$B$7</f>
        <v>0</v>
      </c>
      <c r="L293" s="7">
        <f>J293*'05 Methodology'!$B$7</f>
        <v>0</v>
      </c>
      <c r="M293" s="7" t="str">
        <f>IF(G293=1,"FLAG / HOLD","INDEXED")</f>
        <v>INDEXED</v>
      </c>
      <c r="N293" s="1" t="str">
        <f>IF(H293=1,"FLAG / HOLD","INDEXED")</f>
        <v>INDEXED</v>
      </c>
      <c r="O293" s="1" t="s">
        <v>18</v>
      </c>
      <c r="P293" s="1" t="s">
        <v>19</v>
      </c>
      <c r="Q293" s="1"/>
      <c r="R293" s="1"/>
      <c r="S293" s="1"/>
      <c r="T293" s="1"/>
      <c r="U293" s="1"/>
    </row>
    <row r="294" spans="1:21" x14ac:dyDescent="0.2">
      <c r="A294" s="7" t="s">
        <v>314</v>
      </c>
      <c r="B294" s="7">
        <v>7</v>
      </c>
      <c r="C294" s="7">
        <v>7</v>
      </c>
      <c r="D294" s="7" t="str">
        <f>IF(B294=C294,"MATCH","MISMATCH")</f>
        <v>MATCH</v>
      </c>
      <c r="E294" s="7">
        <f>IF(F294="None",1,0)</f>
        <v>1</v>
      </c>
      <c r="F294" s="7" t="s">
        <v>17</v>
      </c>
      <c r="G294" s="7">
        <v>0</v>
      </c>
      <c r="H294" s="7">
        <v>0</v>
      </c>
      <c r="I294" s="7">
        <f>IF(AND(E294=0,G294=0),1,0)</f>
        <v>0</v>
      </c>
      <c r="J294" s="7">
        <f>IF(AND(E294=0,H294=0),1,0)</f>
        <v>0</v>
      </c>
      <c r="K294" s="7">
        <f>I294*'05 Methodology'!$B$7</f>
        <v>0</v>
      </c>
      <c r="L294" s="7">
        <f>J294*'05 Methodology'!$B$7</f>
        <v>0</v>
      </c>
      <c r="M294" s="7" t="str">
        <f>IF(G294=1,"FLAG / HOLD","INDEXED")</f>
        <v>INDEXED</v>
      </c>
      <c r="N294" s="1" t="str">
        <f>IF(H294=1,"FLAG / HOLD","INDEXED")</f>
        <v>INDEXED</v>
      </c>
      <c r="O294" s="1" t="s">
        <v>18</v>
      </c>
      <c r="P294" s="1" t="s">
        <v>19</v>
      </c>
      <c r="Q294" s="1"/>
      <c r="R294" s="1"/>
      <c r="S294" s="1"/>
      <c r="T294" s="1"/>
      <c r="U294" s="1"/>
    </row>
    <row r="295" spans="1:21" x14ac:dyDescent="0.2">
      <c r="A295" s="7" t="s">
        <v>315</v>
      </c>
      <c r="B295" s="7">
        <v>6</v>
      </c>
      <c r="C295" s="7">
        <v>6</v>
      </c>
      <c r="D295" s="7" t="str">
        <f>IF(B295=C295,"MATCH","MISMATCH")</f>
        <v>MATCH</v>
      </c>
      <c r="E295" s="7">
        <f>IF(F295="None",1,0)</f>
        <v>1</v>
      </c>
      <c r="F295" s="7" t="s">
        <v>17</v>
      </c>
      <c r="G295" s="7">
        <v>0</v>
      </c>
      <c r="H295" s="7">
        <v>0</v>
      </c>
      <c r="I295" s="7">
        <f>IF(AND(E295=0,G295=0),1,0)</f>
        <v>0</v>
      </c>
      <c r="J295" s="7">
        <f>IF(AND(E295=0,H295=0),1,0)</f>
        <v>0</v>
      </c>
      <c r="K295" s="7">
        <f>I295*'05 Methodology'!$B$7</f>
        <v>0</v>
      </c>
      <c r="L295" s="7">
        <f>J295*'05 Methodology'!$B$7</f>
        <v>0</v>
      </c>
      <c r="M295" s="7" t="str">
        <f>IF(G295=1,"FLAG / HOLD","INDEXED")</f>
        <v>INDEXED</v>
      </c>
      <c r="N295" s="1" t="str">
        <f>IF(H295=1,"FLAG / HOLD","INDEXED")</f>
        <v>INDEXED</v>
      </c>
      <c r="O295" s="1" t="s">
        <v>18</v>
      </c>
      <c r="P295" s="1" t="s">
        <v>19</v>
      </c>
      <c r="Q295" s="1"/>
      <c r="R295" s="1"/>
      <c r="S295" s="1"/>
      <c r="T295" s="1"/>
      <c r="U295" s="1"/>
    </row>
    <row r="296" spans="1:21" x14ac:dyDescent="0.2">
      <c r="A296" s="7" t="s">
        <v>316</v>
      </c>
      <c r="B296" s="7">
        <v>4</v>
      </c>
      <c r="C296" s="7">
        <v>4</v>
      </c>
      <c r="D296" s="7" t="str">
        <f>IF(B296=C296,"MATCH","MISMATCH")</f>
        <v>MATCH</v>
      </c>
      <c r="E296" s="7">
        <f>IF(F296="None",1,0)</f>
        <v>1</v>
      </c>
      <c r="F296" s="7" t="s">
        <v>17</v>
      </c>
      <c r="G296" s="7">
        <v>0</v>
      </c>
      <c r="H296" s="7">
        <v>0</v>
      </c>
      <c r="I296" s="7">
        <f>IF(AND(E296=0,G296=0),1,0)</f>
        <v>0</v>
      </c>
      <c r="J296" s="7">
        <f>IF(AND(E296=0,H296=0),1,0)</f>
        <v>0</v>
      </c>
      <c r="K296" s="7">
        <f>I296*'05 Methodology'!$B$7</f>
        <v>0</v>
      </c>
      <c r="L296" s="7">
        <f>J296*'05 Methodology'!$B$7</f>
        <v>0</v>
      </c>
      <c r="M296" s="7" t="str">
        <f>IF(G296=1,"FLAG / HOLD","INDEXED")</f>
        <v>INDEXED</v>
      </c>
      <c r="N296" s="1" t="str">
        <f>IF(H296=1,"FLAG / HOLD","INDEXED")</f>
        <v>INDEXED</v>
      </c>
      <c r="O296" s="1" t="s">
        <v>18</v>
      </c>
      <c r="P296" s="1" t="s">
        <v>19</v>
      </c>
      <c r="Q296" s="1"/>
      <c r="R296" s="1"/>
      <c r="S296" s="1"/>
      <c r="T296" s="1"/>
      <c r="U296" s="1"/>
    </row>
    <row r="297" spans="1:21" x14ac:dyDescent="0.2">
      <c r="A297" s="7" t="s">
        <v>317</v>
      </c>
      <c r="B297" s="7">
        <v>5</v>
      </c>
      <c r="C297" s="7">
        <v>4</v>
      </c>
      <c r="D297" s="7" t="str">
        <f>IF(B297=C297,"MATCH","MISMATCH")</f>
        <v>MISMATCH</v>
      </c>
      <c r="E297" s="7">
        <f>IF(F297="None",1,0)</f>
        <v>0</v>
      </c>
      <c r="F297" s="7" t="s">
        <v>38</v>
      </c>
      <c r="G297" s="7">
        <v>0</v>
      </c>
      <c r="H297" s="7">
        <v>1</v>
      </c>
      <c r="I297" s="7">
        <f>IF(AND(E297=0,G297=0),1,0)</f>
        <v>1</v>
      </c>
      <c r="J297" s="7">
        <f>IF(AND(E297=0,H297=0),1,0)</f>
        <v>0</v>
      </c>
      <c r="K297" s="7">
        <f>I297*'05 Methodology'!$B$7</f>
        <v>20</v>
      </c>
      <c r="L297" s="7">
        <f>J297*'05 Methodology'!$B$7</f>
        <v>0</v>
      </c>
      <c r="M297" s="7" t="str">
        <f>IF(G297=1,"FLAG / HOLD","INDEXED")</f>
        <v>INDEXED</v>
      </c>
      <c r="N297" s="1" t="str">
        <f>IF(H297=1,"FLAG / HOLD","INDEXED")</f>
        <v>FLAG / HOLD</v>
      </c>
      <c r="O297" s="1" t="s">
        <v>18</v>
      </c>
      <c r="P297" s="1" t="s">
        <v>19</v>
      </c>
      <c r="Q297" s="1"/>
      <c r="R297" s="1"/>
      <c r="S297" s="1"/>
      <c r="T297" s="1"/>
      <c r="U297" s="1"/>
    </row>
    <row r="298" spans="1:21" x14ac:dyDescent="0.2">
      <c r="A298" s="7" t="s">
        <v>318</v>
      </c>
      <c r="B298" s="7">
        <v>6</v>
      </c>
      <c r="C298" s="7">
        <v>6</v>
      </c>
      <c r="D298" s="7" t="str">
        <f>IF(B298=C298,"MATCH","MISMATCH")</f>
        <v>MATCH</v>
      </c>
      <c r="E298" s="7">
        <f>IF(F298="None",1,0)</f>
        <v>1</v>
      </c>
      <c r="F298" s="7" t="s">
        <v>17</v>
      </c>
      <c r="G298" s="7">
        <v>0</v>
      </c>
      <c r="H298" s="7">
        <v>0</v>
      </c>
      <c r="I298" s="7">
        <f>IF(AND(E298=0,G298=0),1,0)</f>
        <v>0</v>
      </c>
      <c r="J298" s="7">
        <f>IF(AND(E298=0,H298=0),1,0)</f>
        <v>0</v>
      </c>
      <c r="K298" s="7">
        <f>I298*'05 Methodology'!$B$7</f>
        <v>0</v>
      </c>
      <c r="L298" s="7">
        <f>J298*'05 Methodology'!$B$7</f>
        <v>0</v>
      </c>
      <c r="M298" s="7" t="str">
        <f>IF(G298=1,"FLAG / HOLD","INDEXED")</f>
        <v>INDEXED</v>
      </c>
      <c r="N298" s="1" t="str">
        <f>IF(H298=1,"FLAG / HOLD","INDEXED")</f>
        <v>INDEXED</v>
      </c>
      <c r="O298" s="1" t="s">
        <v>18</v>
      </c>
      <c r="P298" s="1" t="s">
        <v>19</v>
      </c>
      <c r="Q298" s="1"/>
      <c r="R298" s="1"/>
      <c r="S298" s="1"/>
      <c r="T298" s="1"/>
      <c r="U298" s="1"/>
    </row>
    <row r="299" spans="1:21" x14ac:dyDescent="0.2">
      <c r="A299" s="7" t="s">
        <v>319</v>
      </c>
      <c r="B299" s="7">
        <v>7</v>
      </c>
      <c r="C299" s="7">
        <v>7</v>
      </c>
      <c r="D299" s="7" t="str">
        <f>IF(B299=C299,"MATCH","MISMATCH")</f>
        <v>MATCH</v>
      </c>
      <c r="E299" s="7">
        <f>IF(F299="None",1,0)</f>
        <v>1</v>
      </c>
      <c r="F299" s="7" t="s">
        <v>17</v>
      </c>
      <c r="G299" s="7">
        <v>0</v>
      </c>
      <c r="H299" s="7">
        <v>0</v>
      </c>
      <c r="I299" s="7">
        <f>IF(AND(E299=0,G299=0),1,0)</f>
        <v>0</v>
      </c>
      <c r="J299" s="7">
        <f>IF(AND(E299=0,H299=0),1,0)</f>
        <v>0</v>
      </c>
      <c r="K299" s="7">
        <f>I299*'05 Methodology'!$B$7</f>
        <v>0</v>
      </c>
      <c r="L299" s="7">
        <f>J299*'05 Methodology'!$B$7</f>
        <v>0</v>
      </c>
      <c r="M299" s="7" t="str">
        <f>IF(G299=1,"FLAG / HOLD","INDEXED")</f>
        <v>INDEXED</v>
      </c>
      <c r="N299" s="1" t="str">
        <f>IF(H299=1,"FLAG / HOLD","INDEXED")</f>
        <v>INDEXED</v>
      </c>
      <c r="O299" s="1" t="s">
        <v>18</v>
      </c>
      <c r="P299" s="1" t="s">
        <v>19</v>
      </c>
      <c r="Q299" s="1"/>
      <c r="R299" s="1"/>
      <c r="S299" s="1"/>
      <c r="T299" s="1"/>
      <c r="U299" s="1"/>
    </row>
    <row r="300" spans="1:21" x14ac:dyDescent="0.2">
      <c r="A300" s="7" t="s">
        <v>320</v>
      </c>
      <c r="B300" s="7">
        <v>8</v>
      </c>
      <c r="C300" s="7">
        <v>7</v>
      </c>
      <c r="D300" s="7" t="str">
        <f>IF(B300=C300,"MATCH","MISMATCH")</f>
        <v>MISMATCH</v>
      </c>
      <c r="E300" s="7">
        <f>IF(F300="None",1,0)</f>
        <v>0</v>
      </c>
      <c r="F300" s="7" t="s">
        <v>38</v>
      </c>
      <c r="G300" s="7">
        <v>1</v>
      </c>
      <c r="H300" s="7">
        <v>1</v>
      </c>
      <c r="I300" s="7">
        <f>IF(AND(E300=0,G300=0),1,0)</f>
        <v>0</v>
      </c>
      <c r="J300" s="7">
        <f>IF(AND(E300=0,H300=0),1,0)</f>
        <v>0</v>
      </c>
      <c r="K300" s="7">
        <f>I300*'05 Methodology'!$B$7</f>
        <v>0</v>
      </c>
      <c r="L300" s="7">
        <f>J300*'05 Methodology'!$B$7</f>
        <v>0</v>
      </c>
      <c r="M300" s="7" t="str">
        <f>IF(G300=1,"FLAG / HOLD","INDEXED")</f>
        <v>FLAG / HOLD</v>
      </c>
      <c r="N300" s="1" t="str">
        <f>IF(H300=1,"FLAG / HOLD","INDEXED")</f>
        <v>FLAG / HOLD</v>
      </c>
      <c r="O300" s="1" t="s">
        <v>18</v>
      </c>
      <c r="P300" s="1" t="s">
        <v>19</v>
      </c>
      <c r="Q300" s="1"/>
      <c r="R300" s="1"/>
      <c r="S300" s="1"/>
      <c r="T300" s="1"/>
      <c r="U300" s="1"/>
    </row>
    <row r="301" spans="1:21" x14ac:dyDescent="0.2">
      <c r="A301" s="7" t="s">
        <v>321</v>
      </c>
      <c r="B301" s="7">
        <v>4</v>
      </c>
      <c r="C301" s="7">
        <v>4</v>
      </c>
      <c r="D301" s="7" t="str">
        <f>IF(B301=C301,"MATCH","MISMATCH")</f>
        <v>MATCH</v>
      </c>
      <c r="E301" s="7">
        <f>IF(F301="None",1,0)</f>
        <v>1</v>
      </c>
      <c r="F301" s="7" t="s">
        <v>17</v>
      </c>
      <c r="G301" s="7">
        <v>0</v>
      </c>
      <c r="H301" s="7">
        <v>0</v>
      </c>
      <c r="I301" s="7">
        <f>IF(AND(E301=0,G301=0),1,0)</f>
        <v>0</v>
      </c>
      <c r="J301" s="7">
        <f>IF(AND(E301=0,H301=0),1,0)</f>
        <v>0</v>
      </c>
      <c r="K301" s="7">
        <f>I301*'05 Methodology'!$B$7</f>
        <v>0</v>
      </c>
      <c r="L301" s="7">
        <f>J301*'05 Methodology'!$B$7</f>
        <v>0</v>
      </c>
      <c r="M301" s="7" t="str">
        <f>IF(G301=1,"FLAG / HOLD","INDEXED")</f>
        <v>INDEXED</v>
      </c>
      <c r="N301" s="1" t="str">
        <f>IF(H301=1,"FLAG / HOLD","INDEXED")</f>
        <v>INDEXED</v>
      </c>
      <c r="O301" s="1" t="s">
        <v>18</v>
      </c>
      <c r="P301" s="1" t="s">
        <v>19</v>
      </c>
      <c r="Q301" s="1"/>
      <c r="R301" s="1"/>
      <c r="S301" s="1"/>
      <c r="T301" s="1"/>
      <c r="U301" s="1"/>
    </row>
    <row r="302" spans="1:21" x14ac:dyDescent="0.2">
      <c r="A302" s="7" t="s">
        <v>322</v>
      </c>
      <c r="B302" s="7">
        <v>6</v>
      </c>
      <c r="C302" s="7">
        <v>5</v>
      </c>
      <c r="D302" s="7" t="str">
        <f>IF(B302=C302,"MATCH","MISMATCH")</f>
        <v>MISMATCH</v>
      </c>
      <c r="E302" s="7">
        <f>IF(F302="None",1,0)</f>
        <v>0</v>
      </c>
      <c r="F302" s="7" t="s">
        <v>38</v>
      </c>
      <c r="G302" s="7">
        <v>1</v>
      </c>
      <c r="H302" s="7">
        <v>1</v>
      </c>
      <c r="I302" s="7">
        <f>IF(AND(E302=0,G302=0),1,0)</f>
        <v>0</v>
      </c>
      <c r="J302" s="7">
        <f>IF(AND(E302=0,H302=0),1,0)</f>
        <v>0</v>
      </c>
      <c r="K302" s="7">
        <f>I302*'05 Methodology'!$B$7</f>
        <v>0</v>
      </c>
      <c r="L302" s="7">
        <f>J302*'05 Methodology'!$B$7</f>
        <v>0</v>
      </c>
      <c r="M302" s="7" t="str">
        <f>IF(G302=1,"FLAG / HOLD","INDEXED")</f>
        <v>FLAG / HOLD</v>
      </c>
      <c r="N302" s="1" t="str">
        <f>IF(H302=1,"FLAG / HOLD","INDEXED")</f>
        <v>FLAG / HOLD</v>
      </c>
      <c r="O302" s="1" t="s">
        <v>18</v>
      </c>
      <c r="P302" s="1" t="s">
        <v>19</v>
      </c>
      <c r="Q302" s="1"/>
      <c r="R302" s="1"/>
      <c r="S302" s="1"/>
      <c r="T302" s="1"/>
      <c r="U302" s="1"/>
    </row>
    <row r="303" spans="1:21" x14ac:dyDescent="0.2">
      <c r="A303" s="7" t="s">
        <v>323</v>
      </c>
      <c r="B303" s="7">
        <v>6</v>
      </c>
      <c r="C303" s="7">
        <v>6</v>
      </c>
      <c r="D303" s="7" t="str">
        <f>IF(B303=C303,"MATCH","MISMATCH")</f>
        <v>MATCH</v>
      </c>
      <c r="E303" s="7">
        <f>IF(F303="None",1,0)</f>
        <v>1</v>
      </c>
      <c r="F303" s="7" t="s">
        <v>17</v>
      </c>
      <c r="G303" s="7">
        <v>0</v>
      </c>
      <c r="H303" s="7">
        <v>0</v>
      </c>
      <c r="I303" s="7">
        <f>IF(AND(E303=0,G303=0),1,0)</f>
        <v>0</v>
      </c>
      <c r="J303" s="7">
        <f>IF(AND(E303=0,H303=0),1,0)</f>
        <v>0</v>
      </c>
      <c r="K303" s="7">
        <f>I303*'05 Methodology'!$B$7</f>
        <v>0</v>
      </c>
      <c r="L303" s="7">
        <f>J303*'05 Methodology'!$B$7</f>
        <v>0</v>
      </c>
      <c r="M303" s="7" t="str">
        <f>IF(G303=1,"FLAG / HOLD","INDEXED")</f>
        <v>INDEXED</v>
      </c>
      <c r="N303" s="1" t="str">
        <f>IF(H303=1,"FLAG / HOLD","INDEXED")</f>
        <v>INDEXED</v>
      </c>
      <c r="O303" s="1" t="s">
        <v>18</v>
      </c>
      <c r="P303" s="1" t="s">
        <v>19</v>
      </c>
      <c r="Q303" s="1"/>
      <c r="R303" s="1"/>
      <c r="S303" s="1"/>
      <c r="T303" s="1"/>
      <c r="U303" s="1"/>
    </row>
    <row r="304" spans="1:21" x14ac:dyDescent="0.2">
      <c r="A304" s="7" t="s">
        <v>324</v>
      </c>
      <c r="B304" s="7">
        <v>7</v>
      </c>
      <c r="C304" s="7">
        <v>7</v>
      </c>
      <c r="D304" s="7" t="str">
        <f>IF(B304=C304,"MATCH","MISMATCH")</f>
        <v>MATCH</v>
      </c>
      <c r="E304" s="7">
        <f>IF(F304="None",1,0)</f>
        <v>1</v>
      </c>
      <c r="F304" s="7" t="s">
        <v>17</v>
      </c>
      <c r="G304" s="7">
        <v>0</v>
      </c>
      <c r="H304" s="7">
        <v>0</v>
      </c>
      <c r="I304" s="7">
        <f>IF(AND(E304=0,G304=0),1,0)</f>
        <v>0</v>
      </c>
      <c r="J304" s="7">
        <f>IF(AND(E304=0,H304=0),1,0)</f>
        <v>0</v>
      </c>
      <c r="K304" s="7">
        <f>I304*'05 Methodology'!$B$7</f>
        <v>0</v>
      </c>
      <c r="L304" s="7">
        <f>J304*'05 Methodology'!$B$7</f>
        <v>0</v>
      </c>
      <c r="M304" s="7" t="str">
        <f>IF(G304=1,"FLAG / HOLD","INDEXED")</f>
        <v>INDEXED</v>
      </c>
      <c r="N304" s="1" t="str">
        <f>IF(H304=1,"FLAG / HOLD","INDEXED")</f>
        <v>INDEXED</v>
      </c>
      <c r="O304" s="1" t="s">
        <v>18</v>
      </c>
      <c r="P304" s="1" t="s">
        <v>19</v>
      </c>
      <c r="Q304" s="1"/>
      <c r="R304" s="1"/>
      <c r="S304" s="1"/>
      <c r="T304" s="1"/>
      <c r="U304" s="1"/>
    </row>
    <row r="305" spans="1:21" x14ac:dyDescent="0.2">
      <c r="A305" s="7" t="s">
        <v>325</v>
      </c>
      <c r="B305" s="7">
        <v>8</v>
      </c>
      <c r="C305" s="7">
        <v>8</v>
      </c>
      <c r="D305" s="7" t="str">
        <f>IF(B305=C305,"MATCH","MISMATCH")</f>
        <v>MATCH</v>
      </c>
      <c r="E305" s="7">
        <f>IF(F305="None",1,0)</f>
        <v>1</v>
      </c>
      <c r="F305" s="7" t="s">
        <v>17</v>
      </c>
      <c r="G305" s="7">
        <v>0</v>
      </c>
      <c r="H305" s="7">
        <v>0</v>
      </c>
      <c r="I305" s="7">
        <f>IF(AND(E305=0,G305=0),1,0)</f>
        <v>0</v>
      </c>
      <c r="J305" s="7">
        <f>IF(AND(E305=0,H305=0),1,0)</f>
        <v>0</v>
      </c>
      <c r="K305" s="7">
        <f>I305*'05 Methodology'!$B$7</f>
        <v>0</v>
      </c>
      <c r="L305" s="7">
        <f>J305*'05 Methodology'!$B$7</f>
        <v>0</v>
      </c>
      <c r="M305" s="7" t="str">
        <f>IF(G305=1,"FLAG / HOLD","INDEXED")</f>
        <v>INDEXED</v>
      </c>
      <c r="N305" s="1" t="str">
        <f>IF(H305=1,"FLAG / HOLD","INDEXED")</f>
        <v>INDEXED</v>
      </c>
      <c r="O305" s="1" t="s">
        <v>18</v>
      </c>
      <c r="P305" s="1" t="s">
        <v>19</v>
      </c>
      <c r="Q305" s="1"/>
      <c r="R305" s="1"/>
      <c r="S305" s="1"/>
      <c r="T305" s="1"/>
      <c r="U305" s="1"/>
    </row>
    <row r="306" spans="1:21" x14ac:dyDescent="0.2">
      <c r="A306" s="7" t="s">
        <v>326</v>
      </c>
      <c r="B306" s="7">
        <v>4</v>
      </c>
      <c r="C306" s="7">
        <v>4</v>
      </c>
      <c r="D306" s="7" t="str">
        <f>IF(B306=C306,"MATCH","MISMATCH")</f>
        <v>MATCH</v>
      </c>
      <c r="E306" s="7">
        <f>IF(F306="None",1,0)</f>
        <v>1</v>
      </c>
      <c r="F306" s="7" t="s">
        <v>17</v>
      </c>
      <c r="G306" s="7">
        <v>0</v>
      </c>
      <c r="H306" s="7">
        <v>0</v>
      </c>
      <c r="I306" s="7">
        <f>IF(AND(E306=0,G306=0),1,0)</f>
        <v>0</v>
      </c>
      <c r="J306" s="7">
        <f>IF(AND(E306=0,H306=0),1,0)</f>
        <v>0</v>
      </c>
      <c r="K306" s="7">
        <f>I306*'05 Methodology'!$B$7</f>
        <v>0</v>
      </c>
      <c r="L306" s="7">
        <f>J306*'05 Methodology'!$B$7</f>
        <v>0</v>
      </c>
      <c r="M306" s="7" t="str">
        <f>IF(G306=1,"FLAG / HOLD","INDEXED")</f>
        <v>INDEXED</v>
      </c>
      <c r="N306" s="1" t="str">
        <f>IF(H306=1,"FLAG / HOLD","INDEXED")</f>
        <v>INDEXED</v>
      </c>
      <c r="O306" s="1" t="s">
        <v>18</v>
      </c>
      <c r="P306" s="1" t="s">
        <v>19</v>
      </c>
      <c r="Q306" s="1"/>
      <c r="R306" s="1"/>
      <c r="S306" s="1"/>
      <c r="T306" s="1"/>
      <c r="U306" s="1"/>
    </row>
    <row r="307" spans="1:21" x14ac:dyDescent="0.2">
      <c r="A307" s="7" t="s">
        <v>327</v>
      </c>
      <c r="B307" s="7">
        <v>5</v>
      </c>
      <c r="C307" s="7">
        <v>5</v>
      </c>
      <c r="D307" s="7" t="str">
        <f>IF(B307=C307,"MATCH","MISMATCH")</f>
        <v>MATCH</v>
      </c>
      <c r="E307" s="7">
        <f>IF(F307="None",1,0)</f>
        <v>1</v>
      </c>
      <c r="F307" s="7" t="s">
        <v>17</v>
      </c>
      <c r="G307" s="7">
        <v>0</v>
      </c>
      <c r="H307" s="7">
        <v>0</v>
      </c>
      <c r="I307" s="7">
        <f>IF(AND(E307=0,G307=0),1,0)</f>
        <v>0</v>
      </c>
      <c r="J307" s="7">
        <f>IF(AND(E307=0,H307=0),1,0)</f>
        <v>0</v>
      </c>
      <c r="K307" s="7">
        <f>I307*'05 Methodology'!$B$7</f>
        <v>0</v>
      </c>
      <c r="L307" s="7">
        <f>J307*'05 Methodology'!$B$7</f>
        <v>0</v>
      </c>
      <c r="M307" s="7" t="str">
        <f>IF(G307=1,"FLAG / HOLD","INDEXED")</f>
        <v>INDEXED</v>
      </c>
      <c r="N307" s="1" t="str">
        <f>IF(H307=1,"FLAG / HOLD","INDEXED")</f>
        <v>INDEXED</v>
      </c>
      <c r="O307" s="1" t="s">
        <v>18</v>
      </c>
      <c r="P307" s="1" t="s">
        <v>19</v>
      </c>
      <c r="Q307" s="1"/>
      <c r="R307" s="1"/>
      <c r="S307" s="1"/>
      <c r="T307" s="1"/>
      <c r="U307" s="1"/>
    </row>
    <row r="308" spans="1:21" x14ac:dyDescent="0.2">
      <c r="A308" s="7" t="s">
        <v>328</v>
      </c>
      <c r="B308" s="7">
        <v>6</v>
      </c>
      <c r="C308" s="7">
        <v>6</v>
      </c>
      <c r="D308" s="7" t="str">
        <f>IF(B308=C308,"MATCH","MISMATCH")</f>
        <v>MATCH</v>
      </c>
      <c r="E308" s="7">
        <f>IF(F308="None",1,0)</f>
        <v>1</v>
      </c>
      <c r="F308" s="7" t="s">
        <v>17</v>
      </c>
      <c r="G308" s="7">
        <v>0</v>
      </c>
      <c r="H308" s="7">
        <v>0</v>
      </c>
      <c r="I308" s="7">
        <f>IF(AND(E308=0,G308=0),1,0)</f>
        <v>0</v>
      </c>
      <c r="J308" s="7">
        <f>IF(AND(E308=0,H308=0),1,0)</f>
        <v>0</v>
      </c>
      <c r="K308" s="7">
        <f>I308*'05 Methodology'!$B$7</f>
        <v>0</v>
      </c>
      <c r="L308" s="7">
        <f>J308*'05 Methodology'!$B$7</f>
        <v>0</v>
      </c>
      <c r="M308" s="7" t="str">
        <f>IF(G308=1,"FLAG / HOLD","INDEXED")</f>
        <v>INDEXED</v>
      </c>
      <c r="N308" s="1" t="str">
        <f>IF(H308=1,"FLAG / HOLD","INDEXED")</f>
        <v>INDEXED</v>
      </c>
      <c r="O308" s="1" t="s">
        <v>18</v>
      </c>
      <c r="P308" s="1" t="s">
        <v>19</v>
      </c>
      <c r="Q308" s="1"/>
      <c r="R308" s="1"/>
      <c r="S308" s="1"/>
      <c r="T308" s="1"/>
      <c r="U308" s="1"/>
    </row>
    <row r="309" spans="1:21" x14ac:dyDescent="0.2">
      <c r="A309" s="7" t="s">
        <v>329</v>
      </c>
      <c r="B309" s="7">
        <v>6</v>
      </c>
      <c r="C309" s="7">
        <v>6</v>
      </c>
      <c r="D309" s="7" t="str">
        <f>IF(B309=C309,"MATCH","MISMATCH")</f>
        <v>MATCH</v>
      </c>
      <c r="E309" s="7">
        <f>IF(F309="None",1,0)</f>
        <v>1</v>
      </c>
      <c r="F309" s="7" t="s">
        <v>17</v>
      </c>
      <c r="G309" s="7">
        <v>0</v>
      </c>
      <c r="H309" s="7">
        <v>0</v>
      </c>
      <c r="I309" s="7">
        <f>IF(AND(E309=0,G309=0),1,0)</f>
        <v>0</v>
      </c>
      <c r="J309" s="7">
        <f>IF(AND(E309=0,H309=0),1,0)</f>
        <v>0</v>
      </c>
      <c r="K309" s="7">
        <f>I309*'05 Methodology'!$B$7</f>
        <v>0</v>
      </c>
      <c r="L309" s="7">
        <f>J309*'05 Methodology'!$B$7</f>
        <v>0</v>
      </c>
      <c r="M309" s="7" t="str">
        <f>IF(G309=1,"FLAG / HOLD","INDEXED")</f>
        <v>INDEXED</v>
      </c>
      <c r="N309" s="1" t="str">
        <f>IF(H309=1,"FLAG / HOLD","INDEXED")</f>
        <v>INDEXED</v>
      </c>
      <c r="O309" s="1" t="s">
        <v>18</v>
      </c>
      <c r="P309" s="1" t="s">
        <v>19</v>
      </c>
      <c r="Q309" s="1"/>
      <c r="R309" s="1"/>
      <c r="S309" s="1"/>
      <c r="T309" s="1"/>
      <c r="U309" s="1"/>
    </row>
    <row r="310" spans="1:21" x14ac:dyDescent="0.2">
      <c r="A310" s="7" t="s">
        <v>330</v>
      </c>
      <c r="B310" s="7">
        <v>8</v>
      </c>
      <c r="C310" s="7">
        <v>8</v>
      </c>
      <c r="D310" s="7" t="str">
        <f>IF(B310=C310,"MATCH","MISMATCH")</f>
        <v>MATCH</v>
      </c>
      <c r="E310" s="7">
        <f>IF(F310="None",1,0)</f>
        <v>1</v>
      </c>
      <c r="F310" s="7" t="s">
        <v>17</v>
      </c>
      <c r="G310" s="7">
        <v>0</v>
      </c>
      <c r="H310" s="7">
        <v>0</v>
      </c>
      <c r="I310" s="7">
        <f>IF(AND(E310=0,G310=0),1,0)</f>
        <v>0</v>
      </c>
      <c r="J310" s="7">
        <f>IF(AND(E310=0,H310=0),1,0)</f>
        <v>0</v>
      </c>
      <c r="K310" s="7">
        <f>I310*'05 Methodology'!$B$7</f>
        <v>0</v>
      </c>
      <c r="L310" s="7">
        <f>J310*'05 Methodology'!$B$7</f>
        <v>0</v>
      </c>
      <c r="M310" s="7" t="str">
        <f>IF(G310=1,"FLAG / HOLD","INDEXED")</f>
        <v>INDEXED</v>
      </c>
      <c r="N310" s="1" t="str">
        <f>IF(H310=1,"FLAG / HOLD","INDEXED")</f>
        <v>INDEXED</v>
      </c>
      <c r="O310" s="1" t="s">
        <v>18</v>
      </c>
      <c r="P310" s="1" t="s">
        <v>19</v>
      </c>
      <c r="Q310" s="1"/>
      <c r="R310" s="1"/>
      <c r="S310" s="1"/>
      <c r="T310" s="1"/>
      <c r="U310" s="1"/>
    </row>
    <row r="311" spans="1:21" x14ac:dyDescent="0.2">
      <c r="A311" s="7" t="s">
        <v>331</v>
      </c>
      <c r="B311" s="7">
        <v>4</v>
      </c>
      <c r="C311" s="7">
        <v>4</v>
      </c>
      <c r="D311" s="7" t="str">
        <f>IF(B311=C311,"MATCH","MISMATCH")</f>
        <v>MATCH</v>
      </c>
      <c r="E311" s="7">
        <f>IF(F311="None",1,0)</f>
        <v>1</v>
      </c>
      <c r="F311" s="7" t="s">
        <v>17</v>
      </c>
      <c r="G311" s="7">
        <v>0</v>
      </c>
      <c r="H311" s="7">
        <v>0</v>
      </c>
      <c r="I311" s="7">
        <f>IF(AND(E311=0,G311=0),1,0)</f>
        <v>0</v>
      </c>
      <c r="J311" s="7">
        <f>IF(AND(E311=0,H311=0),1,0)</f>
        <v>0</v>
      </c>
      <c r="K311" s="7">
        <f>I311*'05 Methodology'!$B$7</f>
        <v>0</v>
      </c>
      <c r="L311" s="7">
        <f>J311*'05 Methodology'!$B$7</f>
        <v>0</v>
      </c>
      <c r="M311" s="7" t="str">
        <f>IF(G311=1,"FLAG / HOLD","INDEXED")</f>
        <v>INDEXED</v>
      </c>
      <c r="N311" s="1" t="str">
        <f>IF(H311=1,"FLAG / HOLD","INDEXED")</f>
        <v>INDEXED</v>
      </c>
      <c r="O311" s="1" t="s">
        <v>18</v>
      </c>
      <c r="P311" s="1" t="s">
        <v>19</v>
      </c>
      <c r="Q311" s="1"/>
      <c r="R311" s="1"/>
      <c r="S311" s="1"/>
      <c r="T311" s="1"/>
      <c r="U311" s="1"/>
    </row>
    <row r="312" spans="1:21" x14ac:dyDescent="0.2">
      <c r="A312" s="7" t="s">
        <v>332</v>
      </c>
      <c r="B312" s="7">
        <v>5</v>
      </c>
      <c r="C312" s="7">
        <v>5</v>
      </c>
      <c r="D312" s="7" t="str">
        <f>IF(B312=C312,"MATCH","MISMATCH")</f>
        <v>MATCH</v>
      </c>
      <c r="E312" s="7">
        <f>IF(F312="None",1,0)</f>
        <v>1</v>
      </c>
      <c r="F312" s="7" t="s">
        <v>17</v>
      </c>
      <c r="G312" s="7">
        <v>0</v>
      </c>
      <c r="H312" s="7">
        <v>0</v>
      </c>
      <c r="I312" s="7">
        <f>IF(AND(E312=0,G312=0),1,0)</f>
        <v>0</v>
      </c>
      <c r="J312" s="7">
        <f>IF(AND(E312=0,H312=0),1,0)</f>
        <v>0</v>
      </c>
      <c r="K312" s="7">
        <f>I312*'05 Methodology'!$B$7</f>
        <v>0</v>
      </c>
      <c r="L312" s="7">
        <f>J312*'05 Methodology'!$B$7</f>
        <v>0</v>
      </c>
      <c r="M312" s="7" t="str">
        <f>IF(G312=1,"FLAG / HOLD","INDEXED")</f>
        <v>INDEXED</v>
      </c>
      <c r="N312" s="1" t="str">
        <f>IF(H312=1,"FLAG / HOLD","INDEXED")</f>
        <v>INDEXED</v>
      </c>
      <c r="O312" s="1" t="s">
        <v>18</v>
      </c>
      <c r="P312" s="1" t="s">
        <v>19</v>
      </c>
      <c r="Q312" s="1"/>
      <c r="R312" s="1"/>
      <c r="S312" s="1"/>
      <c r="T312" s="1"/>
      <c r="U312" s="1"/>
    </row>
    <row r="313" spans="1:21" x14ac:dyDescent="0.2">
      <c r="A313" s="7" t="s">
        <v>333</v>
      </c>
      <c r="B313" s="7">
        <v>6</v>
      </c>
      <c r="C313" s="7">
        <v>6</v>
      </c>
      <c r="D313" s="7" t="str">
        <f>IF(B313=C313,"MATCH","MISMATCH")</f>
        <v>MATCH</v>
      </c>
      <c r="E313" s="7">
        <f>IF(F313="None",1,0)</f>
        <v>1</v>
      </c>
      <c r="F313" s="7" t="s">
        <v>17</v>
      </c>
      <c r="G313" s="7">
        <v>0</v>
      </c>
      <c r="H313" s="7">
        <v>0</v>
      </c>
      <c r="I313" s="7">
        <f>IF(AND(E313=0,G313=0),1,0)</f>
        <v>0</v>
      </c>
      <c r="J313" s="7">
        <f>IF(AND(E313=0,H313=0),1,0)</f>
        <v>0</v>
      </c>
      <c r="K313" s="7">
        <f>I313*'05 Methodology'!$B$7</f>
        <v>0</v>
      </c>
      <c r="L313" s="7">
        <f>J313*'05 Methodology'!$B$7</f>
        <v>0</v>
      </c>
      <c r="M313" s="7" t="str">
        <f>IF(G313=1,"FLAG / HOLD","INDEXED")</f>
        <v>INDEXED</v>
      </c>
      <c r="N313" s="1" t="str">
        <f>IF(H313=1,"FLAG / HOLD","INDEXED")</f>
        <v>INDEXED</v>
      </c>
      <c r="O313" s="1" t="s">
        <v>18</v>
      </c>
      <c r="P313" s="1" t="s">
        <v>19</v>
      </c>
      <c r="Q313" s="1"/>
      <c r="R313" s="1"/>
      <c r="S313" s="1"/>
      <c r="T313" s="1"/>
      <c r="U313" s="1"/>
    </row>
    <row r="314" spans="1:21" x14ac:dyDescent="0.2">
      <c r="A314" s="7" t="s">
        <v>334</v>
      </c>
      <c r="B314" s="7">
        <v>7</v>
      </c>
      <c r="C314" s="7">
        <v>7</v>
      </c>
      <c r="D314" s="7" t="str">
        <f>IF(B314=C314,"MATCH","MISMATCH")</f>
        <v>MATCH</v>
      </c>
      <c r="E314" s="7">
        <f>IF(F314="None",1,0)</f>
        <v>1</v>
      </c>
      <c r="F314" s="7" t="s">
        <v>17</v>
      </c>
      <c r="G314" s="7">
        <v>0</v>
      </c>
      <c r="H314" s="7">
        <v>0</v>
      </c>
      <c r="I314" s="7">
        <f>IF(AND(E314=0,G314=0),1,0)</f>
        <v>0</v>
      </c>
      <c r="J314" s="7">
        <f>IF(AND(E314=0,H314=0),1,0)</f>
        <v>0</v>
      </c>
      <c r="K314" s="7">
        <f>I314*'05 Methodology'!$B$7</f>
        <v>0</v>
      </c>
      <c r="L314" s="7">
        <f>J314*'05 Methodology'!$B$7</f>
        <v>0</v>
      </c>
      <c r="M314" s="7" t="str">
        <f>IF(G314=1,"FLAG / HOLD","INDEXED")</f>
        <v>INDEXED</v>
      </c>
      <c r="N314" s="1" t="str">
        <f>IF(H314=1,"FLAG / HOLD","INDEXED")</f>
        <v>INDEXED</v>
      </c>
      <c r="O314" s="1" t="s">
        <v>18</v>
      </c>
      <c r="P314" s="1" t="s">
        <v>19</v>
      </c>
      <c r="Q314" s="1"/>
      <c r="R314" s="1"/>
      <c r="S314" s="1"/>
      <c r="T314" s="1"/>
      <c r="U314" s="1"/>
    </row>
    <row r="315" spans="1:21" x14ac:dyDescent="0.2">
      <c r="A315" s="7" t="s">
        <v>335</v>
      </c>
      <c r="B315" s="7">
        <v>8</v>
      </c>
      <c r="C315" s="7">
        <v>8</v>
      </c>
      <c r="D315" s="7" t="str">
        <f>IF(B315=C315,"MATCH","MISMATCH")</f>
        <v>MATCH</v>
      </c>
      <c r="E315" s="7">
        <f>IF(F315="None",1,0)</f>
        <v>1</v>
      </c>
      <c r="F315" s="7" t="s">
        <v>17</v>
      </c>
      <c r="G315" s="7">
        <v>0</v>
      </c>
      <c r="H315" s="7">
        <v>0</v>
      </c>
      <c r="I315" s="7">
        <f>IF(AND(E315=0,G315=0),1,0)</f>
        <v>0</v>
      </c>
      <c r="J315" s="7">
        <f>IF(AND(E315=0,H315=0),1,0)</f>
        <v>0</v>
      </c>
      <c r="K315" s="7">
        <f>I315*'05 Methodology'!$B$7</f>
        <v>0</v>
      </c>
      <c r="L315" s="7">
        <f>J315*'05 Methodology'!$B$7</f>
        <v>0</v>
      </c>
      <c r="M315" s="7" t="str">
        <f>IF(G315=1,"FLAG / HOLD","INDEXED")</f>
        <v>INDEXED</v>
      </c>
      <c r="N315" s="1" t="str">
        <f>IF(H315=1,"FLAG / HOLD","INDEXED")</f>
        <v>INDEXED</v>
      </c>
      <c r="O315" s="1" t="s">
        <v>18</v>
      </c>
      <c r="P315" s="1" t="s">
        <v>19</v>
      </c>
      <c r="Q315" s="1"/>
      <c r="R315" s="1"/>
      <c r="S315" s="1"/>
      <c r="T315" s="1"/>
      <c r="U315" s="1"/>
    </row>
    <row r="316" spans="1:21" x14ac:dyDescent="0.2">
      <c r="A316" s="7" t="s">
        <v>336</v>
      </c>
      <c r="B316" s="7">
        <v>6</v>
      </c>
      <c r="C316" s="7">
        <v>6</v>
      </c>
      <c r="D316" s="7" t="str">
        <f>IF(B316=C316,"MATCH","MISMATCH")</f>
        <v>MATCH</v>
      </c>
      <c r="E316" s="7">
        <f>IF(F316="None",1,0)</f>
        <v>1</v>
      </c>
      <c r="F316" s="7" t="s">
        <v>17</v>
      </c>
      <c r="G316" s="7">
        <v>0</v>
      </c>
      <c r="H316" s="7">
        <v>0</v>
      </c>
      <c r="I316" s="7">
        <f>IF(AND(E316=0,G316=0),1,0)</f>
        <v>0</v>
      </c>
      <c r="J316" s="7">
        <f>IF(AND(E316=0,H316=0),1,0)</f>
        <v>0</v>
      </c>
      <c r="K316" s="7">
        <f>I316*'05 Methodology'!$B$7</f>
        <v>0</v>
      </c>
      <c r="L316" s="7">
        <f>J316*'05 Methodology'!$B$7</f>
        <v>0</v>
      </c>
      <c r="M316" s="7" t="str">
        <f>IF(G316=1,"FLAG / HOLD","INDEXED")</f>
        <v>INDEXED</v>
      </c>
      <c r="N316" s="1" t="str">
        <f>IF(H316=1,"FLAG / HOLD","INDEXED")</f>
        <v>INDEXED</v>
      </c>
      <c r="O316" s="1" t="s">
        <v>18</v>
      </c>
      <c r="P316" s="1" t="s">
        <v>19</v>
      </c>
      <c r="Q316" s="1"/>
      <c r="R316" s="1"/>
      <c r="S316" s="1"/>
      <c r="T316" s="1"/>
      <c r="U316" s="1"/>
    </row>
    <row r="317" spans="1:21" x14ac:dyDescent="0.2">
      <c r="A317" s="7" t="s">
        <v>337</v>
      </c>
      <c r="B317" s="7">
        <v>5</v>
      </c>
      <c r="C317" s="7">
        <v>5</v>
      </c>
      <c r="D317" s="7" t="str">
        <f>IF(B317=C317,"MATCH","MISMATCH")</f>
        <v>MATCH</v>
      </c>
      <c r="E317" s="7">
        <f>IF(F317="None",1,0)</f>
        <v>1</v>
      </c>
      <c r="F317" s="7" t="s">
        <v>17</v>
      </c>
      <c r="G317" s="7">
        <v>0</v>
      </c>
      <c r="H317" s="7">
        <v>0</v>
      </c>
      <c r="I317" s="7">
        <f>IF(AND(E317=0,G317=0),1,0)</f>
        <v>0</v>
      </c>
      <c r="J317" s="7">
        <f>IF(AND(E317=0,H317=0),1,0)</f>
        <v>0</v>
      </c>
      <c r="K317" s="7">
        <f>I317*'05 Methodology'!$B$7</f>
        <v>0</v>
      </c>
      <c r="L317" s="7">
        <f>J317*'05 Methodology'!$B$7</f>
        <v>0</v>
      </c>
      <c r="M317" s="7" t="str">
        <f>IF(G317=1,"FLAG / HOLD","INDEXED")</f>
        <v>INDEXED</v>
      </c>
      <c r="N317" s="1" t="str">
        <f>IF(H317=1,"FLAG / HOLD","INDEXED")</f>
        <v>INDEXED</v>
      </c>
      <c r="O317" s="1" t="s">
        <v>18</v>
      </c>
      <c r="P317" s="1" t="s">
        <v>19</v>
      </c>
      <c r="Q317" s="1"/>
      <c r="R317" s="1"/>
      <c r="S317" s="1"/>
      <c r="T317" s="1"/>
      <c r="U317" s="1"/>
    </row>
    <row r="318" spans="1:21" x14ac:dyDescent="0.2">
      <c r="A318" s="7" t="s">
        <v>338</v>
      </c>
      <c r="B318" s="7">
        <v>6</v>
      </c>
      <c r="C318" s="7">
        <v>6</v>
      </c>
      <c r="D318" s="7" t="str">
        <f>IF(B318=C318,"MATCH","MISMATCH")</f>
        <v>MATCH</v>
      </c>
      <c r="E318" s="7">
        <f>IF(F318="None",1,0)</f>
        <v>1</v>
      </c>
      <c r="F318" s="7" t="s">
        <v>17</v>
      </c>
      <c r="G318" s="7">
        <v>0</v>
      </c>
      <c r="H318" s="7">
        <v>0</v>
      </c>
      <c r="I318" s="7">
        <f>IF(AND(E318=0,G318=0),1,0)</f>
        <v>0</v>
      </c>
      <c r="J318" s="7">
        <f>IF(AND(E318=0,H318=0),1,0)</f>
        <v>0</v>
      </c>
      <c r="K318" s="7">
        <f>I318*'05 Methodology'!$B$7</f>
        <v>0</v>
      </c>
      <c r="L318" s="7">
        <f>J318*'05 Methodology'!$B$7</f>
        <v>0</v>
      </c>
      <c r="M318" s="7" t="str">
        <f>IF(G318=1,"FLAG / HOLD","INDEXED")</f>
        <v>INDEXED</v>
      </c>
      <c r="N318" s="1" t="str">
        <f>IF(H318=1,"FLAG / HOLD","INDEXED")</f>
        <v>INDEXED</v>
      </c>
      <c r="O318" s="1" t="s">
        <v>18</v>
      </c>
      <c r="P318" s="1" t="s">
        <v>19</v>
      </c>
      <c r="Q318" s="1"/>
      <c r="R318" s="1"/>
      <c r="S318" s="1"/>
      <c r="T318" s="1"/>
      <c r="U318" s="1"/>
    </row>
    <row r="319" spans="1:21" x14ac:dyDescent="0.2">
      <c r="A319" s="7" t="s">
        <v>339</v>
      </c>
      <c r="B319" s="7">
        <v>7</v>
      </c>
      <c r="C319" s="7">
        <v>6</v>
      </c>
      <c r="D319" s="7" t="str">
        <f>IF(B319=C319,"MATCH","MISMATCH")</f>
        <v>MISMATCH</v>
      </c>
      <c r="E319" s="7">
        <f>IF(F319="None",1,0)</f>
        <v>0</v>
      </c>
      <c r="F319" s="7" t="s">
        <v>38</v>
      </c>
      <c r="G319" s="7">
        <v>0</v>
      </c>
      <c r="H319" s="7">
        <v>1</v>
      </c>
      <c r="I319" s="7">
        <f>IF(AND(E319=0,G319=0),1,0)</f>
        <v>1</v>
      </c>
      <c r="J319" s="7">
        <f>IF(AND(E319=0,H319=0),1,0)</f>
        <v>0</v>
      </c>
      <c r="K319" s="7">
        <f>I319*'05 Methodology'!$B$7</f>
        <v>20</v>
      </c>
      <c r="L319" s="7">
        <f>J319*'05 Methodology'!$B$7</f>
        <v>0</v>
      </c>
      <c r="M319" s="7" t="str">
        <f>IF(G319=1,"FLAG / HOLD","INDEXED")</f>
        <v>INDEXED</v>
      </c>
      <c r="N319" s="1" t="str">
        <f>IF(H319=1,"FLAG / HOLD","INDEXED")</f>
        <v>FLAG / HOLD</v>
      </c>
      <c r="O319" s="1" t="s">
        <v>18</v>
      </c>
      <c r="P319" s="1" t="s">
        <v>19</v>
      </c>
      <c r="Q319" s="1"/>
      <c r="R319" s="1"/>
      <c r="S319" s="1"/>
      <c r="T319" s="1"/>
      <c r="U319" s="1"/>
    </row>
    <row r="320" spans="1:21" x14ac:dyDescent="0.2">
      <c r="A320" s="7" t="s">
        <v>340</v>
      </c>
      <c r="B320" s="7">
        <v>8</v>
      </c>
      <c r="C320" s="7">
        <v>8</v>
      </c>
      <c r="D320" s="7" t="str">
        <f>IF(B320=C320,"MATCH","MISMATCH")</f>
        <v>MATCH</v>
      </c>
      <c r="E320" s="7">
        <f>IF(F320="None",1,0)</f>
        <v>1</v>
      </c>
      <c r="F320" s="7" t="s">
        <v>17</v>
      </c>
      <c r="G320" s="7">
        <v>0</v>
      </c>
      <c r="H320" s="7">
        <v>0</v>
      </c>
      <c r="I320" s="7">
        <f>IF(AND(E320=0,G320=0),1,0)</f>
        <v>0</v>
      </c>
      <c r="J320" s="7">
        <f>IF(AND(E320=0,H320=0),1,0)</f>
        <v>0</v>
      </c>
      <c r="K320" s="7">
        <f>I320*'05 Methodology'!$B$7</f>
        <v>0</v>
      </c>
      <c r="L320" s="7">
        <f>J320*'05 Methodology'!$B$7</f>
        <v>0</v>
      </c>
      <c r="M320" s="7" t="str">
        <f>IF(G320=1,"FLAG / HOLD","INDEXED")</f>
        <v>INDEXED</v>
      </c>
      <c r="N320" s="1" t="str">
        <f>IF(H320=1,"FLAG / HOLD","INDEXED")</f>
        <v>INDEXED</v>
      </c>
      <c r="O320" s="1" t="s">
        <v>18</v>
      </c>
      <c r="P320" s="1" t="s">
        <v>19</v>
      </c>
      <c r="Q320" s="1"/>
      <c r="R320" s="1"/>
      <c r="S320" s="1"/>
      <c r="T320" s="1"/>
      <c r="U320" s="1"/>
    </row>
    <row r="321" spans="1:21" x14ac:dyDescent="0.2">
      <c r="A321" s="7" t="s">
        <v>341</v>
      </c>
      <c r="B321" s="7">
        <v>4</v>
      </c>
      <c r="C321" s="7">
        <v>4</v>
      </c>
      <c r="D321" s="7" t="str">
        <f>IF(B321=C321,"MATCH","MISMATCH")</f>
        <v>MATCH</v>
      </c>
      <c r="E321" s="7">
        <f>IF(F321="None",1,0)</f>
        <v>1</v>
      </c>
      <c r="F321" s="7" t="s">
        <v>17</v>
      </c>
      <c r="G321" s="7">
        <v>0</v>
      </c>
      <c r="H321" s="7">
        <v>0</v>
      </c>
      <c r="I321" s="7">
        <f>IF(AND(E321=0,G321=0),1,0)</f>
        <v>0</v>
      </c>
      <c r="J321" s="7">
        <f>IF(AND(E321=0,H321=0),1,0)</f>
        <v>0</v>
      </c>
      <c r="K321" s="7">
        <f>I321*'05 Methodology'!$B$7</f>
        <v>0</v>
      </c>
      <c r="L321" s="7">
        <f>J321*'05 Methodology'!$B$7</f>
        <v>0</v>
      </c>
      <c r="M321" s="7" t="str">
        <f>IF(G321=1,"FLAG / HOLD","INDEXED")</f>
        <v>INDEXED</v>
      </c>
      <c r="N321" s="1" t="str">
        <f>IF(H321=1,"FLAG / HOLD","INDEXED")</f>
        <v>INDEXED</v>
      </c>
      <c r="O321" s="1" t="s">
        <v>18</v>
      </c>
      <c r="P321" s="1" t="s">
        <v>19</v>
      </c>
      <c r="Q321" s="1"/>
      <c r="R321" s="1"/>
      <c r="S321" s="1"/>
      <c r="T321" s="1"/>
      <c r="U321" s="1"/>
    </row>
    <row r="322" spans="1:21" x14ac:dyDescent="0.2">
      <c r="A322" s="7" t="s">
        <v>342</v>
      </c>
      <c r="B322" s="7">
        <v>5</v>
      </c>
      <c r="C322" s="7">
        <v>5</v>
      </c>
      <c r="D322" s="7" t="str">
        <f>IF(B322=C322,"MATCH","MISMATCH")</f>
        <v>MATCH</v>
      </c>
      <c r="E322" s="7">
        <f>IF(F322="None",1,0)</f>
        <v>1</v>
      </c>
      <c r="F322" s="7" t="s">
        <v>17</v>
      </c>
      <c r="G322" s="7">
        <v>0</v>
      </c>
      <c r="H322" s="7">
        <v>0</v>
      </c>
      <c r="I322" s="7">
        <f>IF(AND(E322=0,G322=0),1,0)</f>
        <v>0</v>
      </c>
      <c r="J322" s="7">
        <f>IF(AND(E322=0,H322=0),1,0)</f>
        <v>0</v>
      </c>
      <c r="K322" s="7">
        <f>I322*'05 Methodology'!$B$7</f>
        <v>0</v>
      </c>
      <c r="L322" s="7">
        <f>J322*'05 Methodology'!$B$7</f>
        <v>0</v>
      </c>
      <c r="M322" s="7" t="str">
        <f>IF(G322=1,"FLAG / HOLD","INDEXED")</f>
        <v>INDEXED</v>
      </c>
      <c r="N322" s="1" t="str">
        <f>IF(H322=1,"FLAG / HOLD","INDEXED")</f>
        <v>INDEXED</v>
      </c>
      <c r="O322" s="1" t="s">
        <v>18</v>
      </c>
      <c r="P322" s="1" t="s">
        <v>19</v>
      </c>
      <c r="Q322" s="1"/>
      <c r="R322" s="1"/>
      <c r="S322" s="1"/>
      <c r="T322" s="1"/>
      <c r="U322" s="1"/>
    </row>
    <row r="323" spans="1:21" x14ac:dyDescent="0.2">
      <c r="A323" s="7" t="s">
        <v>343</v>
      </c>
      <c r="B323" s="7">
        <v>6</v>
      </c>
      <c r="C323" s="7">
        <v>6</v>
      </c>
      <c r="D323" s="7" t="str">
        <f>IF(B323=C323,"MATCH","MISMATCH")</f>
        <v>MATCH</v>
      </c>
      <c r="E323" s="7">
        <f>IF(F323="None",1,0)</f>
        <v>1</v>
      </c>
      <c r="F323" s="7" t="s">
        <v>17</v>
      </c>
      <c r="G323" s="7">
        <v>0</v>
      </c>
      <c r="H323" s="7">
        <v>0</v>
      </c>
      <c r="I323" s="7">
        <f>IF(AND(E323=0,G323=0),1,0)</f>
        <v>0</v>
      </c>
      <c r="J323" s="7">
        <f>IF(AND(E323=0,H323=0),1,0)</f>
        <v>0</v>
      </c>
      <c r="K323" s="7">
        <f>I323*'05 Methodology'!$B$7</f>
        <v>0</v>
      </c>
      <c r="L323" s="7">
        <f>J323*'05 Methodology'!$B$7</f>
        <v>0</v>
      </c>
      <c r="M323" s="7" t="str">
        <f>IF(G323=1,"FLAG / HOLD","INDEXED")</f>
        <v>INDEXED</v>
      </c>
      <c r="N323" s="1" t="str">
        <f>IF(H323=1,"FLAG / HOLD","INDEXED")</f>
        <v>INDEXED</v>
      </c>
      <c r="O323" s="1" t="s">
        <v>18</v>
      </c>
      <c r="P323" s="1" t="s">
        <v>19</v>
      </c>
      <c r="Q323" s="1"/>
      <c r="R323" s="1"/>
      <c r="S323" s="1"/>
      <c r="T323" s="1"/>
      <c r="U323" s="1"/>
    </row>
    <row r="324" spans="1:21" x14ac:dyDescent="0.2">
      <c r="A324" s="7" t="s">
        <v>344</v>
      </c>
      <c r="B324" s="7">
        <v>7</v>
      </c>
      <c r="C324" s="7">
        <v>7</v>
      </c>
      <c r="D324" s="7" t="str">
        <f>IF(B324=C324,"MATCH","MISMATCH")</f>
        <v>MATCH</v>
      </c>
      <c r="E324" s="7">
        <f>IF(F324="None",1,0)</f>
        <v>1</v>
      </c>
      <c r="F324" s="7" t="s">
        <v>17</v>
      </c>
      <c r="G324" s="7">
        <v>0</v>
      </c>
      <c r="H324" s="7">
        <v>0</v>
      </c>
      <c r="I324" s="7">
        <f>IF(AND(E324=0,G324=0),1,0)</f>
        <v>0</v>
      </c>
      <c r="J324" s="7">
        <f>IF(AND(E324=0,H324=0),1,0)</f>
        <v>0</v>
      </c>
      <c r="K324" s="7">
        <f>I324*'05 Methodology'!$B$7</f>
        <v>0</v>
      </c>
      <c r="L324" s="7">
        <f>J324*'05 Methodology'!$B$7</f>
        <v>0</v>
      </c>
      <c r="M324" s="7" t="str">
        <f>IF(G324=1,"FLAG / HOLD","INDEXED")</f>
        <v>INDEXED</v>
      </c>
      <c r="N324" s="1" t="str">
        <f>IF(H324=1,"FLAG / HOLD","INDEXED")</f>
        <v>INDEXED</v>
      </c>
      <c r="O324" s="1" t="s">
        <v>18</v>
      </c>
      <c r="P324" s="1" t="s">
        <v>19</v>
      </c>
      <c r="Q324" s="1"/>
      <c r="R324" s="1"/>
      <c r="S324" s="1"/>
      <c r="T324" s="1"/>
      <c r="U324" s="1"/>
    </row>
    <row r="325" spans="1:21" x14ac:dyDescent="0.2">
      <c r="A325" s="7" t="s">
        <v>345</v>
      </c>
      <c r="B325" s="7">
        <v>8</v>
      </c>
      <c r="C325" s="7">
        <v>8</v>
      </c>
      <c r="D325" s="7" t="str">
        <f>IF(B325=C325,"MATCH","MISMATCH")</f>
        <v>MATCH</v>
      </c>
      <c r="E325" s="7">
        <f>IF(F325="None",1,0)</f>
        <v>1</v>
      </c>
      <c r="F325" s="7" t="s">
        <v>17</v>
      </c>
      <c r="G325" s="7">
        <v>0</v>
      </c>
      <c r="H325" s="7">
        <v>0</v>
      </c>
      <c r="I325" s="7">
        <f>IF(AND(E325=0,G325=0),1,0)</f>
        <v>0</v>
      </c>
      <c r="J325" s="7">
        <f>IF(AND(E325=0,H325=0),1,0)</f>
        <v>0</v>
      </c>
      <c r="K325" s="7">
        <f>I325*'05 Methodology'!$B$7</f>
        <v>0</v>
      </c>
      <c r="L325" s="7">
        <f>J325*'05 Methodology'!$B$7</f>
        <v>0</v>
      </c>
      <c r="M325" s="7" t="str">
        <f>IF(G325=1,"FLAG / HOLD","INDEXED")</f>
        <v>INDEXED</v>
      </c>
      <c r="N325" s="1" t="str">
        <f>IF(H325=1,"FLAG / HOLD","INDEXED")</f>
        <v>INDEXED</v>
      </c>
      <c r="O325" s="1" t="s">
        <v>18</v>
      </c>
      <c r="P325" s="1" t="s">
        <v>19</v>
      </c>
      <c r="Q325" s="1"/>
      <c r="R325" s="1"/>
      <c r="S325" s="1"/>
      <c r="T325" s="1"/>
      <c r="U325" s="1"/>
    </row>
    <row r="326" spans="1:21" x14ac:dyDescent="0.2">
      <c r="A326" s="7" t="s">
        <v>346</v>
      </c>
      <c r="B326" s="7">
        <v>4</v>
      </c>
      <c r="C326" s="7">
        <v>4</v>
      </c>
      <c r="D326" s="7" t="str">
        <f>IF(B326=C326,"MATCH","MISMATCH")</f>
        <v>MATCH</v>
      </c>
      <c r="E326" s="7">
        <f>IF(F326="None",1,0)</f>
        <v>1</v>
      </c>
      <c r="F326" s="7" t="s">
        <v>17</v>
      </c>
      <c r="G326" s="7">
        <v>0</v>
      </c>
      <c r="H326" s="7">
        <v>0</v>
      </c>
      <c r="I326" s="7">
        <f>IF(AND(E326=0,G326=0),1,0)</f>
        <v>0</v>
      </c>
      <c r="J326" s="7">
        <f>IF(AND(E326=0,H326=0),1,0)</f>
        <v>0</v>
      </c>
      <c r="K326" s="7">
        <f>I326*'05 Methodology'!$B$7</f>
        <v>0</v>
      </c>
      <c r="L326" s="7">
        <f>J326*'05 Methodology'!$B$7</f>
        <v>0</v>
      </c>
      <c r="M326" s="7" t="str">
        <f>IF(G326=1,"FLAG / HOLD","INDEXED")</f>
        <v>INDEXED</v>
      </c>
      <c r="N326" s="1" t="str">
        <f>IF(H326=1,"FLAG / HOLD","INDEXED")</f>
        <v>INDEXED</v>
      </c>
      <c r="O326" s="1" t="s">
        <v>18</v>
      </c>
      <c r="P326" s="1" t="s">
        <v>19</v>
      </c>
      <c r="Q326" s="1"/>
      <c r="R326" s="1"/>
      <c r="S326" s="1"/>
      <c r="T326" s="1"/>
      <c r="U326" s="1"/>
    </row>
    <row r="327" spans="1:21" x14ac:dyDescent="0.2">
      <c r="A327" s="7" t="s">
        <v>347</v>
      </c>
      <c r="B327" s="7">
        <v>5</v>
      </c>
      <c r="C327" s="7">
        <v>5</v>
      </c>
      <c r="D327" s="7" t="str">
        <f>IF(B327=C327,"MATCH","MISMATCH")</f>
        <v>MATCH</v>
      </c>
      <c r="E327" s="7">
        <f>IF(F327="None",1,0)</f>
        <v>1</v>
      </c>
      <c r="F327" s="7" t="s">
        <v>17</v>
      </c>
      <c r="G327" s="7">
        <v>0</v>
      </c>
      <c r="H327" s="7">
        <v>0</v>
      </c>
      <c r="I327" s="7">
        <f>IF(AND(E327=0,G327=0),1,0)</f>
        <v>0</v>
      </c>
      <c r="J327" s="7">
        <f>IF(AND(E327=0,H327=0),1,0)</f>
        <v>0</v>
      </c>
      <c r="K327" s="7">
        <f>I327*'05 Methodology'!$B$7</f>
        <v>0</v>
      </c>
      <c r="L327" s="7">
        <f>J327*'05 Methodology'!$B$7</f>
        <v>0</v>
      </c>
      <c r="M327" s="7" t="str">
        <f>IF(G327=1,"FLAG / HOLD","INDEXED")</f>
        <v>INDEXED</v>
      </c>
      <c r="N327" s="1" t="str">
        <f>IF(H327=1,"FLAG / HOLD","INDEXED")</f>
        <v>INDEXED</v>
      </c>
      <c r="O327" s="1" t="s">
        <v>18</v>
      </c>
      <c r="P327" s="1" t="s">
        <v>19</v>
      </c>
      <c r="Q327" s="1"/>
      <c r="R327" s="1"/>
      <c r="S327" s="1"/>
      <c r="T327" s="1"/>
      <c r="U327" s="1"/>
    </row>
    <row r="328" spans="1:21" x14ac:dyDescent="0.2">
      <c r="A328" s="7" t="s">
        <v>348</v>
      </c>
      <c r="B328" s="7">
        <v>6</v>
      </c>
      <c r="C328" s="7">
        <v>6</v>
      </c>
      <c r="D328" s="7" t="str">
        <f>IF(B328=C328,"MATCH","MISMATCH")</f>
        <v>MATCH</v>
      </c>
      <c r="E328" s="7">
        <f>IF(F328="None",1,0)</f>
        <v>1</v>
      </c>
      <c r="F328" s="7" t="s">
        <v>17</v>
      </c>
      <c r="G328" s="7">
        <v>0</v>
      </c>
      <c r="H328" s="7">
        <v>0</v>
      </c>
      <c r="I328" s="7">
        <f>IF(AND(E328=0,G328=0),1,0)</f>
        <v>0</v>
      </c>
      <c r="J328" s="7">
        <f>IF(AND(E328=0,H328=0),1,0)</f>
        <v>0</v>
      </c>
      <c r="K328" s="7">
        <f>I328*'05 Methodology'!$B$7</f>
        <v>0</v>
      </c>
      <c r="L328" s="7">
        <f>J328*'05 Methodology'!$B$7</f>
        <v>0</v>
      </c>
      <c r="M328" s="7" t="str">
        <f>IF(G328=1,"FLAG / HOLD","INDEXED")</f>
        <v>INDEXED</v>
      </c>
      <c r="N328" s="1" t="str">
        <f>IF(H328=1,"FLAG / HOLD","INDEXED")</f>
        <v>INDEXED</v>
      </c>
      <c r="O328" s="1" t="s">
        <v>18</v>
      </c>
      <c r="P328" s="1" t="s">
        <v>19</v>
      </c>
      <c r="Q328" s="1"/>
      <c r="R328" s="1"/>
      <c r="S328" s="1"/>
      <c r="T328" s="1"/>
      <c r="U328" s="1"/>
    </row>
    <row r="329" spans="1:21" x14ac:dyDescent="0.2">
      <c r="A329" s="7" t="s">
        <v>349</v>
      </c>
      <c r="B329" s="7">
        <v>7</v>
      </c>
      <c r="C329" s="7">
        <v>7</v>
      </c>
      <c r="D329" s="7" t="str">
        <f>IF(B329=C329,"MATCH","MISMATCH")</f>
        <v>MATCH</v>
      </c>
      <c r="E329" s="7">
        <f>IF(F329="None",1,0)</f>
        <v>1</v>
      </c>
      <c r="F329" s="7" t="s">
        <v>17</v>
      </c>
      <c r="G329" s="7">
        <v>0</v>
      </c>
      <c r="H329" s="7">
        <v>0</v>
      </c>
      <c r="I329" s="7">
        <f>IF(AND(E329=0,G329=0),1,0)</f>
        <v>0</v>
      </c>
      <c r="J329" s="7">
        <f>IF(AND(E329=0,H329=0),1,0)</f>
        <v>0</v>
      </c>
      <c r="K329" s="7">
        <f>I329*'05 Methodology'!$B$7</f>
        <v>0</v>
      </c>
      <c r="L329" s="7">
        <f>J329*'05 Methodology'!$B$7</f>
        <v>0</v>
      </c>
      <c r="M329" s="7" t="str">
        <f>IF(G329=1,"FLAG / HOLD","INDEXED")</f>
        <v>INDEXED</v>
      </c>
      <c r="N329" s="1" t="str">
        <f>IF(H329=1,"FLAG / HOLD","INDEXED")</f>
        <v>INDEXED</v>
      </c>
      <c r="O329" s="1" t="s">
        <v>18</v>
      </c>
      <c r="P329" s="1" t="s">
        <v>19</v>
      </c>
      <c r="Q329" s="1"/>
      <c r="R329" s="1"/>
      <c r="S329" s="1"/>
      <c r="T329" s="1"/>
      <c r="U329" s="1"/>
    </row>
    <row r="330" spans="1:21" x14ac:dyDescent="0.2">
      <c r="A330" s="7" t="s">
        <v>350</v>
      </c>
      <c r="B330" s="7">
        <v>6</v>
      </c>
      <c r="C330" s="7">
        <v>6</v>
      </c>
      <c r="D330" s="7" t="str">
        <f>IF(B330=C330,"MATCH","MISMATCH")</f>
        <v>MATCH</v>
      </c>
      <c r="E330" s="7">
        <f>IF(F330="None",1,0)</f>
        <v>1</v>
      </c>
      <c r="F330" s="7" t="s">
        <v>17</v>
      </c>
      <c r="G330" s="7">
        <v>0</v>
      </c>
      <c r="H330" s="7">
        <v>0</v>
      </c>
      <c r="I330" s="7">
        <f>IF(AND(E330=0,G330=0),1,0)</f>
        <v>0</v>
      </c>
      <c r="J330" s="7">
        <f>IF(AND(E330=0,H330=0),1,0)</f>
        <v>0</v>
      </c>
      <c r="K330" s="7">
        <f>I330*'05 Methodology'!$B$7</f>
        <v>0</v>
      </c>
      <c r="L330" s="7">
        <f>J330*'05 Methodology'!$B$7</f>
        <v>0</v>
      </c>
      <c r="M330" s="7" t="str">
        <f>IF(G330=1,"FLAG / HOLD","INDEXED")</f>
        <v>INDEXED</v>
      </c>
      <c r="N330" s="1" t="str">
        <f>IF(H330=1,"FLAG / HOLD","INDEXED")</f>
        <v>INDEXED</v>
      </c>
      <c r="O330" s="1" t="s">
        <v>18</v>
      </c>
      <c r="P330" s="1" t="s">
        <v>19</v>
      </c>
      <c r="Q330" s="1"/>
      <c r="R330" s="1"/>
      <c r="S330" s="1"/>
      <c r="T330" s="1"/>
      <c r="U330" s="1"/>
    </row>
    <row r="331" spans="1:21" x14ac:dyDescent="0.2">
      <c r="A331" s="7" t="s">
        <v>351</v>
      </c>
      <c r="B331" s="7">
        <v>4</v>
      </c>
      <c r="C331" s="7">
        <v>4</v>
      </c>
      <c r="D331" s="7" t="str">
        <f>IF(B331=C331,"MATCH","MISMATCH")</f>
        <v>MATCH</v>
      </c>
      <c r="E331" s="7">
        <f>IF(F331="None",1,0)</f>
        <v>1</v>
      </c>
      <c r="F331" s="7" t="s">
        <v>17</v>
      </c>
      <c r="G331" s="7">
        <v>0</v>
      </c>
      <c r="H331" s="7">
        <v>0</v>
      </c>
      <c r="I331" s="7">
        <f>IF(AND(E331=0,G331=0),1,0)</f>
        <v>0</v>
      </c>
      <c r="J331" s="7">
        <f>IF(AND(E331=0,H331=0),1,0)</f>
        <v>0</v>
      </c>
      <c r="K331" s="7">
        <f>I331*'05 Methodology'!$B$7</f>
        <v>0</v>
      </c>
      <c r="L331" s="7">
        <f>J331*'05 Methodology'!$B$7</f>
        <v>0</v>
      </c>
      <c r="M331" s="7" t="str">
        <f>IF(G331=1,"FLAG / HOLD","INDEXED")</f>
        <v>INDEXED</v>
      </c>
      <c r="N331" s="1" t="str">
        <f>IF(H331=1,"FLAG / HOLD","INDEXED")</f>
        <v>INDEXED</v>
      </c>
      <c r="O331" s="1" t="s">
        <v>18</v>
      </c>
      <c r="P331" s="1" t="s">
        <v>19</v>
      </c>
      <c r="Q331" s="1"/>
      <c r="R331" s="1"/>
      <c r="S331" s="1"/>
      <c r="T331" s="1"/>
      <c r="U331" s="1"/>
    </row>
    <row r="332" spans="1:21" x14ac:dyDescent="0.2">
      <c r="A332" s="7" t="s">
        <v>352</v>
      </c>
      <c r="B332" s="7">
        <v>5</v>
      </c>
      <c r="C332" s="7">
        <v>5</v>
      </c>
      <c r="D332" s="7" t="str">
        <f>IF(B332=C332,"MATCH","MISMATCH")</f>
        <v>MATCH</v>
      </c>
      <c r="E332" s="7">
        <f>IF(F332="None",1,0)</f>
        <v>1</v>
      </c>
      <c r="F332" s="7" t="s">
        <v>17</v>
      </c>
      <c r="G332" s="7">
        <v>0</v>
      </c>
      <c r="H332" s="7">
        <v>0</v>
      </c>
      <c r="I332" s="7">
        <f>IF(AND(E332=0,G332=0),1,0)</f>
        <v>0</v>
      </c>
      <c r="J332" s="7">
        <f>IF(AND(E332=0,H332=0),1,0)</f>
        <v>0</v>
      </c>
      <c r="K332" s="7">
        <f>I332*'05 Methodology'!$B$7</f>
        <v>0</v>
      </c>
      <c r="L332" s="7">
        <f>J332*'05 Methodology'!$B$7</f>
        <v>0</v>
      </c>
      <c r="M332" s="7" t="str">
        <f>IF(G332=1,"FLAG / HOLD","INDEXED")</f>
        <v>INDEXED</v>
      </c>
      <c r="N332" s="1" t="str">
        <f>IF(H332=1,"FLAG / HOLD","INDEXED")</f>
        <v>INDEXED</v>
      </c>
      <c r="O332" s="1" t="s">
        <v>18</v>
      </c>
      <c r="P332" s="1" t="s">
        <v>19</v>
      </c>
      <c r="Q332" s="1"/>
      <c r="R332" s="1"/>
      <c r="S332" s="1"/>
      <c r="T332" s="1"/>
      <c r="U332" s="1"/>
    </row>
    <row r="333" spans="1:21" x14ac:dyDescent="0.2">
      <c r="A333" s="7" t="s">
        <v>353</v>
      </c>
      <c r="B333" s="7">
        <v>6</v>
      </c>
      <c r="C333" s="7">
        <v>6</v>
      </c>
      <c r="D333" s="7" t="str">
        <f>IF(B333=C333,"MATCH","MISMATCH")</f>
        <v>MATCH</v>
      </c>
      <c r="E333" s="7">
        <f>IF(F333="None",1,0)</f>
        <v>1</v>
      </c>
      <c r="F333" s="7" t="s">
        <v>17</v>
      </c>
      <c r="G333" s="7">
        <v>0</v>
      </c>
      <c r="H333" s="7">
        <v>0</v>
      </c>
      <c r="I333" s="7">
        <f>IF(AND(E333=0,G333=0),1,0)</f>
        <v>0</v>
      </c>
      <c r="J333" s="7">
        <f>IF(AND(E333=0,H333=0),1,0)</f>
        <v>0</v>
      </c>
      <c r="K333" s="7">
        <f>I333*'05 Methodology'!$B$7</f>
        <v>0</v>
      </c>
      <c r="L333" s="7">
        <f>J333*'05 Methodology'!$B$7</f>
        <v>0</v>
      </c>
      <c r="M333" s="7" t="str">
        <f>IF(G333=1,"FLAG / HOLD","INDEXED")</f>
        <v>INDEXED</v>
      </c>
      <c r="N333" s="1" t="str">
        <f>IF(H333=1,"FLAG / HOLD","INDEXED")</f>
        <v>INDEXED</v>
      </c>
      <c r="O333" s="1" t="s">
        <v>18</v>
      </c>
      <c r="P333" s="1" t="s">
        <v>19</v>
      </c>
      <c r="Q333" s="1"/>
      <c r="R333" s="1"/>
      <c r="S333" s="1"/>
      <c r="T333" s="1"/>
      <c r="U333" s="1"/>
    </row>
    <row r="334" spans="1:21" x14ac:dyDescent="0.2">
      <c r="A334" s="7" t="s">
        <v>354</v>
      </c>
      <c r="B334" s="7">
        <v>7</v>
      </c>
      <c r="C334" s="7">
        <v>7</v>
      </c>
      <c r="D334" s="7" t="str">
        <f>IF(B334=C334,"MATCH","MISMATCH")</f>
        <v>MATCH</v>
      </c>
      <c r="E334" s="7">
        <f>IF(F334="None",1,0)</f>
        <v>1</v>
      </c>
      <c r="F334" s="7" t="s">
        <v>17</v>
      </c>
      <c r="G334" s="7">
        <v>0</v>
      </c>
      <c r="H334" s="7">
        <v>0</v>
      </c>
      <c r="I334" s="7">
        <f>IF(AND(E334=0,G334=0),1,0)</f>
        <v>0</v>
      </c>
      <c r="J334" s="7">
        <f>IF(AND(E334=0,H334=0),1,0)</f>
        <v>0</v>
      </c>
      <c r="K334" s="7">
        <f>I334*'05 Methodology'!$B$7</f>
        <v>0</v>
      </c>
      <c r="L334" s="7">
        <f>J334*'05 Methodology'!$B$7</f>
        <v>0</v>
      </c>
      <c r="M334" s="7" t="str">
        <f>IF(G334=1,"FLAG / HOLD","INDEXED")</f>
        <v>INDEXED</v>
      </c>
      <c r="N334" s="1" t="str">
        <f>IF(H334=1,"FLAG / HOLD","INDEXED")</f>
        <v>INDEXED</v>
      </c>
      <c r="O334" s="1" t="s">
        <v>18</v>
      </c>
      <c r="P334" s="1" t="s">
        <v>19</v>
      </c>
      <c r="Q334" s="1"/>
      <c r="R334" s="1"/>
      <c r="S334" s="1"/>
      <c r="T334" s="1"/>
      <c r="U334" s="1"/>
    </row>
    <row r="335" spans="1:21" x14ac:dyDescent="0.2">
      <c r="A335" s="7" t="s">
        <v>355</v>
      </c>
      <c r="B335" s="7">
        <v>8</v>
      </c>
      <c r="C335" s="7">
        <v>8</v>
      </c>
      <c r="D335" s="7" t="str">
        <f>IF(B335=C335,"MATCH","MISMATCH")</f>
        <v>MATCH</v>
      </c>
      <c r="E335" s="7">
        <f>IF(F335="None",1,0)</f>
        <v>1</v>
      </c>
      <c r="F335" s="7" t="s">
        <v>17</v>
      </c>
      <c r="G335" s="7">
        <v>0</v>
      </c>
      <c r="H335" s="7">
        <v>0</v>
      </c>
      <c r="I335" s="7">
        <f>IF(AND(E335=0,G335=0),1,0)</f>
        <v>0</v>
      </c>
      <c r="J335" s="7">
        <f>IF(AND(E335=0,H335=0),1,0)</f>
        <v>0</v>
      </c>
      <c r="K335" s="7">
        <f>I335*'05 Methodology'!$B$7</f>
        <v>0</v>
      </c>
      <c r="L335" s="7">
        <f>J335*'05 Methodology'!$B$7</f>
        <v>0</v>
      </c>
      <c r="M335" s="7" t="str">
        <f>IF(G335=1,"FLAG / HOLD","INDEXED")</f>
        <v>INDEXED</v>
      </c>
      <c r="N335" s="1" t="str">
        <f>IF(H335=1,"FLAG / HOLD","INDEXED")</f>
        <v>INDEXED</v>
      </c>
      <c r="O335" s="1" t="s">
        <v>18</v>
      </c>
      <c r="P335" s="1" t="s">
        <v>19</v>
      </c>
      <c r="Q335" s="1"/>
      <c r="R335" s="1"/>
      <c r="S335" s="1"/>
      <c r="T335" s="1"/>
      <c r="U335" s="1"/>
    </row>
    <row r="336" spans="1:21" x14ac:dyDescent="0.2">
      <c r="A336" s="7" t="s">
        <v>356</v>
      </c>
      <c r="B336" s="7">
        <v>4</v>
      </c>
      <c r="C336" s="7">
        <v>4</v>
      </c>
      <c r="D336" s="7" t="str">
        <f>IF(B336=C336,"MATCH","MISMATCH")</f>
        <v>MATCH</v>
      </c>
      <c r="E336" s="7">
        <f>IF(F336="None",1,0)</f>
        <v>1</v>
      </c>
      <c r="F336" s="7" t="s">
        <v>17</v>
      </c>
      <c r="G336" s="7">
        <v>0</v>
      </c>
      <c r="H336" s="7">
        <v>0</v>
      </c>
      <c r="I336" s="7">
        <f>IF(AND(E336=0,G336=0),1,0)</f>
        <v>0</v>
      </c>
      <c r="J336" s="7">
        <f>IF(AND(E336=0,H336=0),1,0)</f>
        <v>0</v>
      </c>
      <c r="K336" s="7">
        <f>I336*'05 Methodology'!$B$7</f>
        <v>0</v>
      </c>
      <c r="L336" s="7">
        <f>J336*'05 Methodology'!$B$7</f>
        <v>0</v>
      </c>
      <c r="M336" s="7" t="str">
        <f>IF(G336=1,"FLAG / HOLD","INDEXED")</f>
        <v>INDEXED</v>
      </c>
      <c r="N336" s="1" t="str">
        <f>IF(H336=1,"FLAG / HOLD","INDEXED")</f>
        <v>INDEXED</v>
      </c>
      <c r="O336" s="1" t="s">
        <v>18</v>
      </c>
      <c r="P336" s="1" t="s">
        <v>19</v>
      </c>
      <c r="Q336" s="1"/>
      <c r="R336" s="1"/>
      <c r="S336" s="1"/>
      <c r="T336" s="1"/>
      <c r="U336" s="1"/>
    </row>
    <row r="337" spans="1:21" x14ac:dyDescent="0.2">
      <c r="A337" s="7" t="s">
        <v>357</v>
      </c>
      <c r="B337" s="7">
        <v>6</v>
      </c>
      <c r="C337" s="7">
        <v>5</v>
      </c>
      <c r="D337" s="7" t="str">
        <f>IF(B337=C337,"MATCH","MISMATCH")</f>
        <v>MISMATCH</v>
      </c>
      <c r="E337" s="7">
        <f>IF(F337="None",1,0)</f>
        <v>0</v>
      </c>
      <c r="F337" s="7" t="s">
        <v>38</v>
      </c>
      <c r="G337" s="7">
        <v>0</v>
      </c>
      <c r="H337" s="7">
        <v>1</v>
      </c>
      <c r="I337" s="7">
        <f>IF(AND(E337=0,G337=0),1,0)</f>
        <v>1</v>
      </c>
      <c r="J337" s="7">
        <f>IF(AND(E337=0,H337=0),1,0)</f>
        <v>0</v>
      </c>
      <c r="K337" s="7">
        <f>I337*'05 Methodology'!$B$7</f>
        <v>20</v>
      </c>
      <c r="L337" s="7">
        <f>J337*'05 Methodology'!$B$7</f>
        <v>0</v>
      </c>
      <c r="M337" s="7" t="str">
        <f>IF(G337=1,"FLAG / HOLD","INDEXED")</f>
        <v>INDEXED</v>
      </c>
      <c r="N337" s="1" t="str">
        <f>IF(H337=1,"FLAG / HOLD","INDEXED")</f>
        <v>FLAG / HOLD</v>
      </c>
      <c r="O337" s="1" t="s">
        <v>18</v>
      </c>
      <c r="P337" s="1" t="s">
        <v>19</v>
      </c>
      <c r="Q337" s="1"/>
      <c r="R337" s="1"/>
      <c r="S337" s="1"/>
      <c r="T337" s="1"/>
      <c r="U337" s="1"/>
    </row>
    <row r="338" spans="1:21" x14ac:dyDescent="0.2">
      <c r="A338" s="7" t="s">
        <v>358</v>
      </c>
      <c r="B338" s="7">
        <v>6</v>
      </c>
      <c r="C338" s="7">
        <v>6</v>
      </c>
      <c r="D338" s="7" t="str">
        <f>IF(B338=C338,"MATCH","MISMATCH")</f>
        <v>MATCH</v>
      </c>
      <c r="E338" s="7">
        <f>IF(F338="None",1,0)</f>
        <v>1</v>
      </c>
      <c r="F338" s="7" t="s">
        <v>17</v>
      </c>
      <c r="G338" s="7">
        <v>0</v>
      </c>
      <c r="H338" s="7">
        <v>0</v>
      </c>
      <c r="I338" s="7">
        <f>IF(AND(E338=0,G338=0),1,0)</f>
        <v>0</v>
      </c>
      <c r="J338" s="7">
        <f>IF(AND(E338=0,H338=0),1,0)</f>
        <v>0</v>
      </c>
      <c r="K338" s="7">
        <f>I338*'05 Methodology'!$B$7</f>
        <v>0</v>
      </c>
      <c r="L338" s="7">
        <f>J338*'05 Methodology'!$B$7</f>
        <v>0</v>
      </c>
      <c r="M338" s="7" t="str">
        <f>IF(G338=1,"FLAG / HOLD","INDEXED")</f>
        <v>INDEXED</v>
      </c>
      <c r="N338" s="1" t="str">
        <f>IF(H338=1,"FLAG / HOLD","INDEXED")</f>
        <v>INDEXED</v>
      </c>
      <c r="O338" s="1" t="s">
        <v>18</v>
      </c>
      <c r="P338" s="1" t="s">
        <v>19</v>
      </c>
      <c r="Q338" s="1"/>
      <c r="R338" s="1"/>
      <c r="S338" s="1"/>
      <c r="T338" s="1"/>
      <c r="U338" s="1"/>
    </row>
    <row r="339" spans="1:21" x14ac:dyDescent="0.2">
      <c r="A339" s="7" t="s">
        <v>359</v>
      </c>
      <c r="B339" s="7">
        <v>7</v>
      </c>
      <c r="C339" s="7">
        <v>7</v>
      </c>
      <c r="D339" s="7" t="str">
        <f>IF(B339=C339,"MATCH","MISMATCH")</f>
        <v>MATCH</v>
      </c>
      <c r="E339" s="7">
        <f>IF(F339="None",1,0)</f>
        <v>1</v>
      </c>
      <c r="F339" s="7" t="s">
        <v>17</v>
      </c>
      <c r="G339" s="7">
        <v>0</v>
      </c>
      <c r="H339" s="7">
        <v>0</v>
      </c>
      <c r="I339" s="7">
        <f>IF(AND(E339=0,G339=0),1,0)</f>
        <v>0</v>
      </c>
      <c r="J339" s="7">
        <f>IF(AND(E339=0,H339=0),1,0)</f>
        <v>0</v>
      </c>
      <c r="K339" s="7">
        <f>I339*'05 Methodology'!$B$7</f>
        <v>0</v>
      </c>
      <c r="L339" s="7">
        <f>J339*'05 Methodology'!$B$7</f>
        <v>0</v>
      </c>
      <c r="M339" s="7" t="str">
        <f>IF(G339=1,"FLAG / HOLD","INDEXED")</f>
        <v>INDEXED</v>
      </c>
      <c r="N339" s="1" t="str">
        <f>IF(H339=1,"FLAG / HOLD","INDEXED")</f>
        <v>INDEXED</v>
      </c>
      <c r="O339" s="1" t="s">
        <v>18</v>
      </c>
      <c r="P339" s="1" t="s">
        <v>19</v>
      </c>
      <c r="Q339" s="1"/>
      <c r="R339" s="1"/>
      <c r="S339" s="1"/>
      <c r="T339" s="1"/>
      <c r="U339" s="1"/>
    </row>
    <row r="340" spans="1:21" x14ac:dyDescent="0.2">
      <c r="A340" s="7" t="s">
        <v>360</v>
      </c>
      <c r="B340" s="7">
        <v>8</v>
      </c>
      <c r="C340" s="7">
        <v>7</v>
      </c>
      <c r="D340" s="7" t="str">
        <f>IF(B340=C340,"MATCH","MISMATCH")</f>
        <v>MISMATCH</v>
      </c>
      <c r="E340" s="7">
        <f>IF(F340="None",1,0)</f>
        <v>0</v>
      </c>
      <c r="F340" s="7" t="s">
        <v>38</v>
      </c>
      <c r="G340" s="7">
        <v>1</v>
      </c>
      <c r="H340" s="7">
        <v>1</v>
      </c>
      <c r="I340" s="7">
        <f>IF(AND(E340=0,G340=0),1,0)</f>
        <v>0</v>
      </c>
      <c r="J340" s="7">
        <f>IF(AND(E340=0,H340=0),1,0)</f>
        <v>0</v>
      </c>
      <c r="K340" s="7">
        <f>I340*'05 Methodology'!$B$7</f>
        <v>0</v>
      </c>
      <c r="L340" s="7">
        <f>J340*'05 Methodology'!$B$7</f>
        <v>0</v>
      </c>
      <c r="M340" s="7" t="str">
        <f>IF(G340=1,"FLAG / HOLD","INDEXED")</f>
        <v>FLAG / HOLD</v>
      </c>
      <c r="N340" s="1" t="str">
        <f>IF(H340=1,"FLAG / HOLD","INDEXED")</f>
        <v>FLAG / HOLD</v>
      </c>
      <c r="O340" s="1" t="s">
        <v>18</v>
      </c>
      <c r="P340" s="1" t="s">
        <v>19</v>
      </c>
      <c r="Q340" s="1"/>
      <c r="R340" s="1"/>
      <c r="S340" s="1"/>
      <c r="T340" s="1"/>
      <c r="U340" s="1"/>
    </row>
    <row r="341" spans="1:21" x14ac:dyDescent="0.2">
      <c r="A341" s="7" t="s">
        <v>361</v>
      </c>
      <c r="B341" s="7">
        <v>4</v>
      </c>
      <c r="C341" s="7">
        <v>4</v>
      </c>
      <c r="D341" s="7" t="str">
        <f>IF(B341=C341,"MATCH","MISMATCH")</f>
        <v>MATCH</v>
      </c>
      <c r="E341" s="7">
        <f>IF(F341="None",1,0)</f>
        <v>1</v>
      </c>
      <c r="F341" s="7" t="s">
        <v>17</v>
      </c>
      <c r="G341" s="7">
        <v>0</v>
      </c>
      <c r="H341" s="7">
        <v>0</v>
      </c>
      <c r="I341" s="7">
        <f>IF(AND(E341=0,G341=0),1,0)</f>
        <v>0</v>
      </c>
      <c r="J341" s="7">
        <f>IF(AND(E341=0,H341=0),1,0)</f>
        <v>0</v>
      </c>
      <c r="K341" s="7">
        <f>I341*'05 Methodology'!$B$7</f>
        <v>0</v>
      </c>
      <c r="L341" s="7">
        <f>J341*'05 Methodology'!$B$7</f>
        <v>0</v>
      </c>
      <c r="M341" s="7" t="str">
        <f>IF(G341=1,"FLAG / HOLD","INDEXED")</f>
        <v>INDEXED</v>
      </c>
      <c r="N341" s="1" t="str">
        <f>IF(H341=1,"FLAG / HOLD","INDEXED")</f>
        <v>INDEXED</v>
      </c>
      <c r="O341" s="1" t="s">
        <v>18</v>
      </c>
      <c r="P341" s="1" t="s">
        <v>19</v>
      </c>
      <c r="Q341" s="1"/>
      <c r="R341" s="1"/>
      <c r="S341" s="1"/>
      <c r="T341" s="1"/>
      <c r="U341" s="1"/>
    </row>
    <row r="342" spans="1:21" x14ac:dyDescent="0.2">
      <c r="A342" s="7" t="s">
        <v>362</v>
      </c>
      <c r="B342" s="7">
        <v>5</v>
      </c>
      <c r="C342" s="7">
        <v>5</v>
      </c>
      <c r="D342" s="7" t="str">
        <f>IF(B342=C342,"MATCH","MISMATCH")</f>
        <v>MATCH</v>
      </c>
      <c r="E342" s="7">
        <f>IF(F342="None",1,0)</f>
        <v>1</v>
      </c>
      <c r="F342" s="7" t="s">
        <v>17</v>
      </c>
      <c r="G342" s="7">
        <v>0</v>
      </c>
      <c r="H342" s="7">
        <v>0</v>
      </c>
      <c r="I342" s="7">
        <f>IF(AND(E342=0,G342=0),1,0)</f>
        <v>0</v>
      </c>
      <c r="J342" s="7">
        <f>IF(AND(E342=0,H342=0),1,0)</f>
        <v>0</v>
      </c>
      <c r="K342" s="7">
        <f>I342*'05 Methodology'!$B$7</f>
        <v>0</v>
      </c>
      <c r="L342" s="7">
        <f>J342*'05 Methodology'!$B$7</f>
        <v>0</v>
      </c>
      <c r="M342" s="7" t="str">
        <f>IF(G342=1,"FLAG / HOLD","INDEXED")</f>
        <v>INDEXED</v>
      </c>
      <c r="N342" s="1" t="str">
        <f>IF(H342=1,"FLAG / HOLD","INDEXED")</f>
        <v>INDEXED</v>
      </c>
      <c r="O342" s="1" t="s">
        <v>18</v>
      </c>
      <c r="P342" s="1" t="s">
        <v>19</v>
      </c>
      <c r="Q342" s="1"/>
      <c r="R342" s="1"/>
      <c r="S342" s="1"/>
      <c r="T342" s="1"/>
      <c r="U342" s="1"/>
    </row>
    <row r="343" spans="1:21" x14ac:dyDescent="0.2">
      <c r="A343" s="7" t="s">
        <v>363</v>
      </c>
      <c r="B343" s="7">
        <v>6</v>
      </c>
      <c r="C343" s="7">
        <v>6</v>
      </c>
      <c r="D343" s="7" t="str">
        <f>IF(B343=C343,"MATCH","MISMATCH")</f>
        <v>MATCH</v>
      </c>
      <c r="E343" s="7">
        <f>IF(F343="None",1,0)</f>
        <v>1</v>
      </c>
      <c r="F343" s="7" t="s">
        <v>17</v>
      </c>
      <c r="G343" s="7">
        <v>0</v>
      </c>
      <c r="H343" s="7">
        <v>0</v>
      </c>
      <c r="I343" s="7">
        <f>IF(AND(E343=0,G343=0),1,0)</f>
        <v>0</v>
      </c>
      <c r="J343" s="7">
        <f>IF(AND(E343=0,H343=0),1,0)</f>
        <v>0</v>
      </c>
      <c r="K343" s="7">
        <f>I343*'05 Methodology'!$B$7</f>
        <v>0</v>
      </c>
      <c r="L343" s="7">
        <f>J343*'05 Methodology'!$B$7</f>
        <v>0</v>
      </c>
      <c r="M343" s="7" t="str">
        <f>IF(G343=1,"FLAG / HOLD","INDEXED")</f>
        <v>INDEXED</v>
      </c>
      <c r="N343" s="1" t="str">
        <f>IF(H343=1,"FLAG / HOLD","INDEXED")</f>
        <v>INDEXED</v>
      </c>
      <c r="O343" s="1" t="s">
        <v>18</v>
      </c>
      <c r="P343" s="1" t="s">
        <v>19</v>
      </c>
      <c r="Q343" s="1"/>
      <c r="R343" s="1"/>
      <c r="S343" s="1"/>
      <c r="T343" s="1"/>
      <c r="U343" s="1"/>
    </row>
    <row r="344" spans="1:21" x14ac:dyDescent="0.2">
      <c r="A344" s="7" t="s">
        <v>364</v>
      </c>
      <c r="B344" s="7">
        <v>6</v>
      </c>
      <c r="C344" s="7">
        <v>6</v>
      </c>
      <c r="D344" s="7" t="str">
        <f>IF(B344=C344,"MATCH","MISMATCH")</f>
        <v>MATCH</v>
      </c>
      <c r="E344" s="7">
        <f>IF(F344="None",1,0)</f>
        <v>1</v>
      </c>
      <c r="F344" s="7" t="s">
        <v>17</v>
      </c>
      <c r="G344" s="7">
        <v>0</v>
      </c>
      <c r="H344" s="7">
        <v>0</v>
      </c>
      <c r="I344" s="7">
        <f>IF(AND(E344=0,G344=0),1,0)</f>
        <v>0</v>
      </c>
      <c r="J344" s="7">
        <f>IF(AND(E344=0,H344=0),1,0)</f>
        <v>0</v>
      </c>
      <c r="K344" s="7">
        <f>I344*'05 Methodology'!$B$7</f>
        <v>0</v>
      </c>
      <c r="L344" s="7">
        <f>J344*'05 Methodology'!$B$7</f>
        <v>0</v>
      </c>
      <c r="M344" s="7" t="str">
        <f>IF(G344=1,"FLAG / HOLD","INDEXED")</f>
        <v>INDEXED</v>
      </c>
      <c r="N344" s="1" t="str">
        <f>IF(H344=1,"FLAG / HOLD","INDEXED")</f>
        <v>INDEXED</v>
      </c>
      <c r="O344" s="1" t="s">
        <v>18</v>
      </c>
      <c r="P344" s="1" t="s">
        <v>19</v>
      </c>
      <c r="Q344" s="1"/>
      <c r="R344" s="1"/>
      <c r="S344" s="1"/>
      <c r="T344" s="1"/>
      <c r="U344" s="1"/>
    </row>
    <row r="345" spans="1:21" x14ac:dyDescent="0.2">
      <c r="A345" s="7" t="s">
        <v>365</v>
      </c>
      <c r="B345" s="7">
        <v>8</v>
      </c>
      <c r="C345" s="7">
        <v>8</v>
      </c>
      <c r="D345" s="7" t="str">
        <f>IF(B345=C345,"MATCH","MISMATCH")</f>
        <v>MATCH</v>
      </c>
      <c r="E345" s="7">
        <f>IF(F345="None",1,0)</f>
        <v>1</v>
      </c>
      <c r="F345" s="7" t="s">
        <v>17</v>
      </c>
      <c r="G345" s="7">
        <v>0</v>
      </c>
      <c r="H345" s="7">
        <v>0</v>
      </c>
      <c r="I345" s="7">
        <f>IF(AND(E345=0,G345=0),1,0)</f>
        <v>0</v>
      </c>
      <c r="J345" s="7">
        <f>IF(AND(E345=0,H345=0),1,0)</f>
        <v>0</v>
      </c>
      <c r="K345" s="7">
        <f>I345*'05 Methodology'!$B$7</f>
        <v>0</v>
      </c>
      <c r="L345" s="7">
        <f>J345*'05 Methodology'!$B$7</f>
        <v>0</v>
      </c>
      <c r="M345" s="7" t="str">
        <f>IF(G345=1,"FLAG / HOLD","INDEXED")</f>
        <v>INDEXED</v>
      </c>
      <c r="N345" s="1" t="str">
        <f>IF(H345=1,"FLAG / HOLD","INDEXED")</f>
        <v>INDEXED</v>
      </c>
      <c r="O345" s="1" t="s">
        <v>18</v>
      </c>
      <c r="P345" s="1" t="s">
        <v>19</v>
      </c>
      <c r="Q345" s="1"/>
      <c r="R345" s="1"/>
      <c r="S345" s="1"/>
      <c r="T345" s="1"/>
      <c r="U345" s="1"/>
    </row>
    <row r="346" spans="1:21" x14ac:dyDescent="0.2">
      <c r="A346" s="7" t="s">
        <v>366</v>
      </c>
      <c r="B346" s="7">
        <v>4</v>
      </c>
      <c r="C346" s="7">
        <v>4</v>
      </c>
      <c r="D346" s="7" t="str">
        <f>IF(B346=C346,"MATCH","MISMATCH")</f>
        <v>MATCH</v>
      </c>
      <c r="E346" s="7">
        <f>IF(F346="None",1,0)</f>
        <v>1</v>
      </c>
      <c r="F346" s="7" t="s">
        <v>17</v>
      </c>
      <c r="G346" s="7">
        <v>0</v>
      </c>
      <c r="H346" s="7">
        <v>0</v>
      </c>
      <c r="I346" s="7">
        <f>IF(AND(E346=0,G346=0),1,0)</f>
        <v>0</v>
      </c>
      <c r="J346" s="7">
        <f>IF(AND(E346=0,H346=0),1,0)</f>
        <v>0</v>
      </c>
      <c r="K346" s="7">
        <f>I346*'05 Methodology'!$B$7</f>
        <v>0</v>
      </c>
      <c r="L346" s="7">
        <f>J346*'05 Methodology'!$B$7</f>
        <v>0</v>
      </c>
      <c r="M346" s="7" t="str">
        <f>IF(G346=1,"FLAG / HOLD","INDEXED")</f>
        <v>INDEXED</v>
      </c>
      <c r="N346" s="1" t="str">
        <f>IF(H346=1,"FLAG / HOLD","INDEXED")</f>
        <v>INDEXED</v>
      </c>
      <c r="O346" s="1" t="s">
        <v>18</v>
      </c>
      <c r="P346" s="1" t="s">
        <v>19</v>
      </c>
      <c r="Q346" s="1"/>
      <c r="R346" s="1"/>
      <c r="S346" s="1"/>
      <c r="T346" s="1"/>
      <c r="U346" s="1"/>
    </row>
    <row r="347" spans="1:21" x14ac:dyDescent="0.2">
      <c r="A347" s="7" t="s">
        <v>367</v>
      </c>
      <c r="B347" s="7">
        <v>5</v>
      </c>
      <c r="C347" s="7">
        <v>5</v>
      </c>
      <c r="D347" s="7" t="str">
        <f>IF(B347=C347,"MATCH","MISMATCH")</f>
        <v>MATCH</v>
      </c>
      <c r="E347" s="7">
        <f>IF(F347="None",1,0)</f>
        <v>1</v>
      </c>
      <c r="F347" s="7" t="s">
        <v>17</v>
      </c>
      <c r="G347" s="7">
        <v>0</v>
      </c>
      <c r="H347" s="7">
        <v>0</v>
      </c>
      <c r="I347" s="7">
        <f>IF(AND(E347=0,G347=0),1,0)</f>
        <v>0</v>
      </c>
      <c r="J347" s="7">
        <f>IF(AND(E347=0,H347=0),1,0)</f>
        <v>0</v>
      </c>
      <c r="K347" s="7">
        <f>I347*'05 Methodology'!$B$7</f>
        <v>0</v>
      </c>
      <c r="L347" s="7">
        <f>J347*'05 Methodology'!$B$7</f>
        <v>0</v>
      </c>
      <c r="M347" s="7" t="str">
        <f>IF(G347=1,"FLAG / HOLD","INDEXED")</f>
        <v>INDEXED</v>
      </c>
      <c r="N347" s="1" t="str">
        <f>IF(H347=1,"FLAG / HOLD","INDEXED")</f>
        <v>INDEXED</v>
      </c>
      <c r="O347" s="1" t="s">
        <v>18</v>
      </c>
      <c r="P347" s="1" t="s">
        <v>19</v>
      </c>
      <c r="Q347" s="1"/>
      <c r="R347" s="1"/>
      <c r="S347" s="1"/>
      <c r="T347" s="1"/>
      <c r="U347" s="1"/>
    </row>
    <row r="348" spans="1:21" x14ac:dyDescent="0.2">
      <c r="A348" s="7" t="s">
        <v>368</v>
      </c>
      <c r="B348" s="7">
        <v>6</v>
      </c>
      <c r="C348" s="7">
        <v>6</v>
      </c>
      <c r="D348" s="7" t="str">
        <f>IF(B348=C348,"MATCH","MISMATCH")</f>
        <v>MATCH</v>
      </c>
      <c r="E348" s="7">
        <f>IF(F348="None",1,0)</f>
        <v>1</v>
      </c>
      <c r="F348" s="7" t="s">
        <v>17</v>
      </c>
      <c r="G348" s="7">
        <v>0</v>
      </c>
      <c r="H348" s="7">
        <v>0</v>
      </c>
      <c r="I348" s="7">
        <f>IF(AND(E348=0,G348=0),1,0)</f>
        <v>0</v>
      </c>
      <c r="J348" s="7">
        <f>IF(AND(E348=0,H348=0),1,0)</f>
        <v>0</v>
      </c>
      <c r="K348" s="7">
        <f>I348*'05 Methodology'!$B$7</f>
        <v>0</v>
      </c>
      <c r="L348" s="7">
        <f>J348*'05 Methodology'!$B$7</f>
        <v>0</v>
      </c>
      <c r="M348" s="7" t="str">
        <f>IF(G348=1,"FLAG / HOLD","INDEXED")</f>
        <v>INDEXED</v>
      </c>
      <c r="N348" s="1" t="str">
        <f>IF(H348=1,"FLAG / HOLD","INDEXED")</f>
        <v>INDEXED</v>
      </c>
      <c r="O348" s="1" t="s">
        <v>18</v>
      </c>
      <c r="P348" s="1" t="s">
        <v>19</v>
      </c>
      <c r="Q348" s="1"/>
      <c r="R348" s="1"/>
      <c r="S348" s="1"/>
      <c r="T348" s="1"/>
      <c r="U348" s="1"/>
    </row>
    <row r="349" spans="1:21" x14ac:dyDescent="0.2">
      <c r="A349" s="7" t="s">
        <v>369</v>
      </c>
      <c r="B349" s="7">
        <v>7</v>
      </c>
      <c r="C349" s="7">
        <v>7</v>
      </c>
      <c r="D349" s="7" t="str">
        <f>IF(B349=C349,"MATCH","MISMATCH")</f>
        <v>MATCH</v>
      </c>
      <c r="E349" s="7">
        <f>IF(F349="None",1,0)</f>
        <v>1</v>
      </c>
      <c r="F349" s="7" t="s">
        <v>17</v>
      </c>
      <c r="G349" s="7">
        <v>0</v>
      </c>
      <c r="H349" s="7">
        <v>0</v>
      </c>
      <c r="I349" s="7">
        <f>IF(AND(E349=0,G349=0),1,0)</f>
        <v>0</v>
      </c>
      <c r="J349" s="7">
        <f>IF(AND(E349=0,H349=0),1,0)</f>
        <v>0</v>
      </c>
      <c r="K349" s="7">
        <f>I349*'05 Methodology'!$B$7</f>
        <v>0</v>
      </c>
      <c r="L349" s="7">
        <f>J349*'05 Methodology'!$B$7</f>
        <v>0</v>
      </c>
      <c r="M349" s="7" t="str">
        <f>IF(G349=1,"FLAG / HOLD","INDEXED")</f>
        <v>INDEXED</v>
      </c>
      <c r="N349" s="1" t="str">
        <f>IF(H349=1,"FLAG / HOLD","INDEXED")</f>
        <v>INDEXED</v>
      </c>
      <c r="O349" s="1" t="s">
        <v>18</v>
      </c>
      <c r="P349" s="1" t="s">
        <v>19</v>
      </c>
      <c r="Q349" s="1"/>
      <c r="R349" s="1"/>
      <c r="S349" s="1"/>
      <c r="T349" s="1"/>
      <c r="U349" s="1"/>
    </row>
    <row r="350" spans="1:21" x14ac:dyDescent="0.2">
      <c r="A350" s="7" t="s">
        <v>370</v>
      </c>
      <c r="B350" s="7">
        <v>8</v>
      </c>
      <c r="C350" s="7">
        <v>8</v>
      </c>
      <c r="D350" s="7" t="str">
        <f>IF(B350=C350,"MATCH","MISMATCH")</f>
        <v>MATCH</v>
      </c>
      <c r="E350" s="7">
        <f>IF(F350="None",1,0)</f>
        <v>1</v>
      </c>
      <c r="F350" s="7" t="s">
        <v>17</v>
      </c>
      <c r="G350" s="7">
        <v>0</v>
      </c>
      <c r="H350" s="7">
        <v>0</v>
      </c>
      <c r="I350" s="7">
        <f>IF(AND(E350=0,G350=0),1,0)</f>
        <v>0</v>
      </c>
      <c r="J350" s="7">
        <f>IF(AND(E350=0,H350=0),1,0)</f>
        <v>0</v>
      </c>
      <c r="K350" s="7">
        <f>I350*'05 Methodology'!$B$7</f>
        <v>0</v>
      </c>
      <c r="L350" s="7">
        <f>J350*'05 Methodology'!$B$7</f>
        <v>0</v>
      </c>
      <c r="M350" s="7" t="str">
        <f>IF(G350=1,"FLAG / HOLD","INDEXED")</f>
        <v>INDEXED</v>
      </c>
      <c r="N350" s="1" t="str">
        <f>IF(H350=1,"FLAG / HOLD","INDEXED")</f>
        <v>INDEXED</v>
      </c>
      <c r="O350" s="1" t="s">
        <v>18</v>
      </c>
      <c r="P350" s="1" t="s">
        <v>19</v>
      </c>
      <c r="Q350" s="1"/>
      <c r="R350" s="1"/>
      <c r="S350" s="1"/>
      <c r="T350" s="1"/>
      <c r="U350" s="1"/>
    </row>
    <row r="351" spans="1:21" x14ac:dyDescent="0.2">
      <c r="A351" s="7" t="s">
        <v>371</v>
      </c>
      <c r="B351" s="7">
        <v>6</v>
      </c>
      <c r="C351" s="7">
        <v>6</v>
      </c>
      <c r="D351" s="7" t="str">
        <f>IF(B351=C351,"MATCH","MISMATCH")</f>
        <v>MATCH</v>
      </c>
      <c r="E351" s="7">
        <f>IF(F351="None",1,0)</f>
        <v>1</v>
      </c>
      <c r="F351" s="7" t="s">
        <v>17</v>
      </c>
      <c r="G351" s="7">
        <v>0</v>
      </c>
      <c r="H351" s="7">
        <v>0</v>
      </c>
      <c r="I351" s="7">
        <f>IF(AND(E351=0,G351=0),1,0)</f>
        <v>0</v>
      </c>
      <c r="J351" s="7">
        <f>IF(AND(E351=0,H351=0),1,0)</f>
        <v>0</v>
      </c>
      <c r="K351" s="7">
        <f>I351*'05 Methodology'!$B$7</f>
        <v>0</v>
      </c>
      <c r="L351" s="7">
        <f>J351*'05 Methodology'!$B$7</f>
        <v>0</v>
      </c>
      <c r="M351" s="7" t="str">
        <f>IF(G351=1,"FLAG / HOLD","INDEXED")</f>
        <v>INDEXED</v>
      </c>
      <c r="N351" s="1" t="str">
        <f>IF(H351=1,"FLAG / HOLD","INDEXED")</f>
        <v>INDEXED</v>
      </c>
      <c r="O351" s="1" t="s">
        <v>18</v>
      </c>
      <c r="P351" s="1" t="s">
        <v>19</v>
      </c>
      <c r="Q351" s="1"/>
      <c r="R351" s="1"/>
      <c r="S351" s="1"/>
      <c r="T351" s="1"/>
      <c r="U351" s="1"/>
    </row>
    <row r="352" spans="1:21" x14ac:dyDescent="0.2">
      <c r="A352" s="7" t="s">
        <v>372</v>
      </c>
      <c r="B352" s="7">
        <v>5</v>
      </c>
      <c r="C352" s="7">
        <v>5</v>
      </c>
      <c r="D352" s="7" t="str">
        <f>IF(B352=C352,"MATCH","MISMATCH")</f>
        <v>MATCH</v>
      </c>
      <c r="E352" s="7">
        <f>IF(F352="None",1,0)</f>
        <v>1</v>
      </c>
      <c r="F352" s="7" t="s">
        <v>17</v>
      </c>
      <c r="G352" s="7">
        <v>0</v>
      </c>
      <c r="H352" s="7">
        <v>0</v>
      </c>
      <c r="I352" s="7">
        <f>IF(AND(E352=0,G352=0),1,0)</f>
        <v>0</v>
      </c>
      <c r="J352" s="7">
        <f>IF(AND(E352=0,H352=0),1,0)</f>
        <v>0</v>
      </c>
      <c r="K352" s="7">
        <f>I352*'05 Methodology'!$B$7</f>
        <v>0</v>
      </c>
      <c r="L352" s="7">
        <f>J352*'05 Methodology'!$B$7</f>
        <v>0</v>
      </c>
      <c r="M352" s="7" t="str">
        <f>IF(G352=1,"FLAG / HOLD","INDEXED")</f>
        <v>INDEXED</v>
      </c>
      <c r="N352" s="1" t="str">
        <f>IF(H352=1,"FLAG / HOLD","INDEXED")</f>
        <v>INDEXED</v>
      </c>
      <c r="O352" s="1" t="s">
        <v>18</v>
      </c>
      <c r="P352" s="1" t="s">
        <v>19</v>
      </c>
      <c r="Q352" s="1"/>
      <c r="R352" s="1"/>
      <c r="S352" s="1"/>
      <c r="T352" s="1"/>
      <c r="U352" s="1"/>
    </row>
    <row r="353" spans="1:21" x14ac:dyDescent="0.2">
      <c r="A353" s="7" t="s">
        <v>373</v>
      </c>
      <c r="B353" s="7">
        <v>6</v>
      </c>
      <c r="C353" s="7">
        <v>6</v>
      </c>
      <c r="D353" s="7" t="str">
        <f>IF(B353=C353,"MATCH","MISMATCH")</f>
        <v>MATCH</v>
      </c>
      <c r="E353" s="7">
        <f>IF(F353="None",1,0)</f>
        <v>1</v>
      </c>
      <c r="F353" s="7" t="s">
        <v>17</v>
      </c>
      <c r="G353" s="7">
        <v>0</v>
      </c>
      <c r="H353" s="7">
        <v>0</v>
      </c>
      <c r="I353" s="7">
        <f>IF(AND(E353=0,G353=0),1,0)</f>
        <v>0</v>
      </c>
      <c r="J353" s="7">
        <f>IF(AND(E353=0,H353=0),1,0)</f>
        <v>0</v>
      </c>
      <c r="K353" s="7">
        <f>I353*'05 Methodology'!$B$7</f>
        <v>0</v>
      </c>
      <c r="L353" s="7">
        <f>J353*'05 Methodology'!$B$7</f>
        <v>0</v>
      </c>
      <c r="M353" s="7" t="str">
        <f>IF(G353=1,"FLAG / HOLD","INDEXED")</f>
        <v>INDEXED</v>
      </c>
      <c r="N353" s="1" t="str">
        <f>IF(H353=1,"FLAG / HOLD","INDEXED")</f>
        <v>INDEXED</v>
      </c>
      <c r="O353" s="1" t="s">
        <v>18</v>
      </c>
      <c r="P353" s="1" t="s">
        <v>19</v>
      </c>
      <c r="Q353" s="1"/>
      <c r="R353" s="1"/>
      <c r="S353" s="1"/>
      <c r="T353" s="1"/>
      <c r="U353" s="1"/>
    </row>
    <row r="354" spans="1:21" x14ac:dyDescent="0.2">
      <c r="A354" s="7" t="s">
        <v>374</v>
      </c>
      <c r="B354" s="7">
        <v>7</v>
      </c>
      <c r="C354" s="7">
        <v>7</v>
      </c>
      <c r="D354" s="7" t="str">
        <f>IF(B354=C354,"MATCH","MISMATCH")</f>
        <v>MATCH</v>
      </c>
      <c r="E354" s="7">
        <f>IF(F354="None",1,0)</f>
        <v>1</v>
      </c>
      <c r="F354" s="7" t="s">
        <v>17</v>
      </c>
      <c r="G354" s="7">
        <v>0</v>
      </c>
      <c r="H354" s="7">
        <v>0</v>
      </c>
      <c r="I354" s="7">
        <f>IF(AND(E354=0,G354=0),1,0)</f>
        <v>0</v>
      </c>
      <c r="J354" s="7">
        <f>IF(AND(E354=0,H354=0),1,0)</f>
        <v>0</v>
      </c>
      <c r="K354" s="7">
        <f>I354*'05 Methodology'!$B$7</f>
        <v>0</v>
      </c>
      <c r="L354" s="7">
        <f>J354*'05 Methodology'!$B$7</f>
        <v>0</v>
      </c>
      <c r="M354" s="7" t="str">
        <f>IF(G354=1,"FLAG / HOLD","INDEXED")</f>
        <v>INDEXED</v>
      </c>
      <c r="N354" s="1" t="str">
        <f>IF(H354=1,"FLAG / HOLD","INDEXED")</f>
        <v>INDEXED</v>
      </c>
      <c r="O354" s="1" t="s">
        <v>18</v>
      </c>
      <c r="P354" s="1" t="s">
        <v>19</v>
      </c>
      <c r="Q354" s="1"/>
      <c r="R354" s="1"/>
      <c r="S354" s="1"/>
      <c r="T354" s="1"/>
      <c r="U354" s="1"/>
    </row>
    <row r="355" spans="1:21" x14ac:dyDescent="0.2">
      <c r="A355" s="7" t="s">
        <v>375</v>
      </c>
      <c r="B355" s="7">
        <v>8</v>
      </c>
      <c r="C355" s="7">
        <v>7</v>
      </c>
      <c r="D355" s="7" t="str">
        <f>IF(B355=C355,"MATCH","MISMATCH")</f>
        <v>MISMATCH</v>
      </c>
      <c r="E355" s="7">
        <f>IF(F355="None",1,0)</f>
        <v>0</v>
      </c>
      <c r="F355" s="7" t="s">
        <v>38</v>
      </c>
      <c r="G355" s="7">
        <v>1</v>
      </c>
      <c r="H355" s="7">
        <v>1</v>
      </c>
      <c r="I355" s="7">
        <f>IF(AND(E355=0,G355=0),1,0)</f>
        <v>0</v>
      </c>
      <c r="J355" s="7">
        <f>IF(AND(E355=0,H355=0),1,0)</f>
        <v>0</v>
      </c>
      <c r="K355" s="7">
        <f>I355*'05 Methodology'!$B$7</f>
        <v>0</v>
      </c>
      <c r="L355" s="7">
        <f>J355*'05 Methodology'!$B$7</f>
        <v>0</v>
      </c>
      <c r="M355" s="7" t="str">
        <f>IF(G355=1,"FLAG / HOLD","INDEXED")</f>
        <v>FLAG / HOLD</v>
      </c>
      <c r="N355" s="1" t="str">
        <f>IF(H355=1,"FLAG / HOLD","INDEXED")</f>
        <v>FLAG / HOLD</v>
      </c>
      <c r="O355" s="1" t="s">
        <v>18</v>
      </c>
      <c r="P355" s="1" t="s">
        <v>19</v>
      </c>
      <c r="Q355" s="1"/>
      <c r="R355" s="1"/>
      <c r="S355" s="1"/>
      <c r="T355" s="1"/>
      <c r="U355" s="1"/>
    </row>
    <row r="356" spans="1:21" x14ac:dyDescent="0.2">
      <c r="A356" s="7" t="s">
        <v>376</v>
      </c>
      <c r="B356" s="7">
        <v>4</v>
      </c>
      <c r="C356" s="7">
        <v>4</v>
      </c>
      <c r="D356" s="7" t="str">
        <f>IF(B356=C356,"MATCH","MISMATCH")</f>
        <v>MATCH</v>
      </c>
      <c r="E356" s="7">
        <f>IF(F356="None",1,0)</f>
        <v>1</v>
      </c>
      <c r="F356" s="7" t="s">
        <v>17</v>
      </c>
      <c r="G356" s="7">
        <v>0</v>
      </c>
      <c r="H356" s="7">
        <v>0</v>
      </c>
      <c r="I356" s="7">
        <f>IF(AND(E356=0,G356=0),1,0)</f>
        <v>0</v>
      </c>
      <c r="J356" s="7">
        <f>IF(AND(E356=0,H356=0),1,0)</f>
        <v>0</v>
      </c>
      <c r="K356" s="7">
        <f>I356*'05 Methodology'!$B$7</f>
        <v>0</v>
      </c>
      <c r="L356" s="7">
        <f>J356*'05 Methodology'!$B$7</f>
        <v>0</v>
      </c>
      <c r="M356" s="7" t="str">
        <f>IF(G356=1,"FLAG / HOLD","INDEXED")</f>
        <v>INDEXED</v>
      </c>
      <c r="N356" s="1" t="str">
        <f>IF(H356=1,"FLAG / HOLD","INDEXED")</f>
        <v>INDEXED</v>
      </c>
      <c r="O356" s="1" t="s">
        <v>18</v>
      </c>
      <c r="P356" s="1" t="s">
        <v>19</v>
      </c>
      <c r="Q356" s="1"/>
      <c r="R356" s="1"/>
      <c r="S356" s="1"/>
      <c r="T356" s="1"/>
      <c r="U356" s="1"/>
    </row>
    <row r="357" spans="1:21" x14ac:dyDescent="0.2">
      <c r="A357" s="7" t="s">
        <v>377</v>
      </c>
      <c r="B357" s="7">
        <v>5</v>
      </c>
      <c r="C357" s="7">
        <v>5</v>
      </c>
      <c r="D357" s="7" t="str">
        <f>IF(B357=C357,"MATCH","MISMATCH")</f>
        <v>MATCH</v>
      </c>
      <c r="E357" s="7">
        <f>IF(F357="None",1,0)</f>
        <v>1</v>
      </c>
      <c r="F357" s="7" t="s">
        <v>17</v>
      </c>
      <c r="G357" s="7">
        <v>0</v>
      </c>
      <c r="H357" s="7">
        <v>0</v>
      </c>
      <c r="I357" s="7">
        <f>IF(AND(E357=0,G357=0),1,0)</f>
        <v>0</v>
      </c>
      <c r="J357" s="7">
        <f>IF(AND(E357=0,H357=0),1,0)</f>
        <v>0</v>
      </c>
      <c r="K357" s="7">
        <f>I357*'05 Methodology'!$B$7</f>
        <v>0</v>
      </c>
      <c r="L357" s="7">
        <f>J357*'05 Methodology'!$B$7</f>
        <v>0</v>
      </c>
      <c r="M357" s="7" t="str">
        <f>IF(G357=1,"FLAG / HOLD","INDEXED")</f>
        <v>INDEXED</v>
      </c>
      <c r="N357" s="1" t="str">
        <f>IF(H357=1,"FLAG / HOLD","INDEXED")</f>
        <v>INDEXED</v>
      </c>
      <c r="O357" s="1" t="s">
        <v>18</v>
      </c>
      <c r="P357" s="1" t="s">
        <v>19</v>
      </c>
      <c r="Q357" s="1"/>
      <c r="R357" s="1"/>
      <c r="S357" s="1"/>
      <c r="T357" s="1"/>
      <c r="U357" s="1"/>
    </row>
    <row r="358" spans="1:21" x14ac:dyDescent="0.2">
      <c r="A358" s="7" t="s">
        <v>378</v>
      </c>
      <c r="B358" s="7">
        <v>6</v>
      </c>
      <c r="C358" s="7">
        <v>6</v>
      </c>
      <c r="D358" s="7" t="str">
        <f>IF(B358=C358,"MATCH","MISMATCH")</f>
        <v>MATCH</v>
      </c>
      <c r="E358" s="7">
        <f>IF(F358="None",1,0)</f>
        <v>1</v>
      </c>
      <c r="F358" s="7" t="s">
        <v>17</v>
      </c>
      <c r="G358" s="7">
        <v>0</v>
      </c>
      <c r="H358" s="7">
        <v>0</v>
      </c>
      <c r="I358" s="7">
        <f>IF(AND(E358=0,G358=0),1,0)</f>
        <v>0</v>
      </c>
      <c r="J358" s="7">
        <f>IF(AND(E358=0,H358=0),1,0)</f>
        <v>0</v>
      </c>
      <c r="K358" s="7">
        <f>I358*'05 Methodology'!$B$7</f>
        <v>0</v>
      </c>
      <c r="L358" s="7">
        <f>J358*'05 Methodology'!$B$7</f>
        <v>0</v>
      </c>
      <c r="M358" s="7" t="str">
        <f>IF(G358=1,"FLAG / HOLD","INDEXED")</f>
        <v>INDEXED</v>
      </c>
      <c r="N358" s="1" t="str">
        <f>IF(H358=1,"FLAG / HOLD","INDEXED")</f>
        <v>INDEXED</v>
      </c>
      <c r="O358" s="1" t="s">
        <v>18</v>
      </c>
      <c r="P358" s="1" t="s">
        <v>19</v>
      </c>
      <c r="Q358" s="1"/>
      <c r="R358" s="1"/>
      <c r="S358" s="1"/>
      <c r="T358" s="1"/>
      <c r="U358" s="1"/>
    </row>
    <row r="359" spans="1:21" x14ac:dyDescent="0.2">
      <c r="A359" s="7" t="s">
        <v>379</v>
      </c>
      <c r="B359" s="7">
        <v>7</v>
      </c>
      <c r="C359" s="7">
        <v>7</v>
      </c>
      <c r="D359" s="7" t="str">
        <f>IF(B359=C359,"MATCH","MISMATCH")</f>
        <v>MATCH</v>
      </c>
      <c r="E359" s="7">
        <f>IF(F359="None",1,0)</f>
        <v>1</v>
      </c>
      <c r="F359" s="7" t="s">
        <v>17</v>
      </c>
      <c r="G359" s="7">
        <v>0</v>
      </c>
      <c r="H359" s="7">
        <v>0</v>
      </c>
      <c r="I359" s="7">
        <f>IF(AND(E359=0,G359=0),1,0)</f>
        <v>0</v>
      </c>
      <c r="J359" s="7">
        <f>IF(AND(E359=0,H359=0),1,0)</f>
        <v>0</v>
      </c>
      <c r="K359" s="7">
        <f>I359*'05 Methodology'!$B$7</f>
        <v>0</v>
      </c>
      <c r="L359" s="7">
        <f>J359*'05 Methodology'!$B$7</f>
        <v>0</v>
      </c>
      <c r="M359" s="7" t="str">
        <f>IF(G359=1,"FLAG / HOLD","INDEXED")</f>
        <v>INDEXED</v>
      </c>
      <c r="N359" s="1" t="str">
        <f>IF(H359=1,"FLAG / HOLD","INDEXED")</f>
        <v>INDEXED</v>
      </c>
      <c r="O359" s="1" t="s">
        <v>18</v>
      </c>
      <c r="P359" s="1" t="s">
        <v>19</v>
      </c>
      <c r="Q359" s="1"/>
      <c r="R359" s="1"/>
      <c r="S359" s="1"/>
      <c r="T359" s="1"/>
      <c r="U359" s="1"/>
    </row>
    <row r="360" spans="1:21" x14ac:dyDescent="0.2">
      <c r="A360" s="7" t="s">
        <v>380</v>
      </c>
      <c r="B360" s="7">
        <v>8</v>
      </c>
      <c r="C360" s="7">
        <v>8</v>
      </c>
      <c r="D360" s="7" t="str">
        <f>IF(B360=C360,"MATCH","MISMATCH")</f>
        <v>MATCH</v>
      </c>
      <c r="E360" s="7">
        <f>IF(F360="None",1,0)</f>
        <v>1</v>
      </c>
      <c r="F360" s="7" t="s">
        <v>17</v>
      </c>
      <c r="G360" s="7">
        <v>0</v>
      </c>
      <c r="H360" s="7">
        <v>0</v>
      </c>
      <c r="I360" s="7">
        <f>IF(AND(E360=0,G360=0),1,0)</f>
        <v>0</v>
      </c>
      <c r="J360" s="7">
        <f>IF(AND(E360=0,H360=0),1,0)</f>
        <v>0</v>
      </c>
      <c r="K360" s="7">
        <f>I360*'05 Methodology'!$B$7</f>
        <v>0</v>
      </c>
      <c r="L360" s="7">
        <f>J360*'05 Methodology'!$B$7</f>
        <v>0</v>
      </c>
      <c r="M360" s="7" t="str">
        <f>IF(G360=1,"FLAG / HOLD","INDEXED")</f>
        <v>INDEXED</v>
      </c>
      <c r="N360" s="1" t="str">
        <f>IF(H360=1,"FLAG / HOLD","INDEXED")</f>
        <v>INDEXED</v>
      </c>
      <c r="O360" s="1" t="s">
        <v>18</v>
      </c>
      <c r="P360" s="1" t="s">
        <v>19</v>
      </c>
      <c r="Q360" s="1"/>
      <c r="R360" s="1"/>
      <c r="S360" s="1"/>
      <c r="T360" s="1"/>
      <c r="U360" s="1"/>
    </row>
    <row r="361" spans="1:21" x14ac:dyDescent="0.2">
      <c r="A361" s="7" t="s">
        <v>381</v>
      </c>
      <c r="B361" s="7">
        <v>4</v>
      </c>
      <c r="C361" s="7">
        <v>4</v>
      </c>
      <c r="D361" s="7" t="str">
        <f>IF(B361=C361,"MATCH","MISMATCH")</f>
        <v>MATCH</v>
      </c>
      <c r="E361" s="7">
        <f>IF(F361="None",1,0)</f>
        <v>1</v>
      </c>
      <c r="F361" s="7" t="s">
        <v>17</v>
      </c>
      <c r="G361" s="7">
        <v>0</v>
      </c>
      <c r="H361" s="7">
        <v>0</v>
      </c>
      <c r="I361" s="7">
        <f>IF(AND(E361=0,G361=0),1,0)</f>
        <v>0</v>
      </c>
      <c r="J361" s="7">
        <f>IF(AND(E361=0,H361=0),1,0)</f>
        <v>0</v>
      </c>
      <c r="K361" s="7">
        <f>I361*'05 Methodology'!$B$7</f>
        <v>0</v>
      </c>
      <c r="L361" s="7">
        <f>J361*'05 Methodology'!$B$7</f>
        <v>0</v>
      </c>
      <c r="M361" s="7" t="str">
        <f>IF(G361=1,"FLAG / HOLD","INDEXED")</f>
        <v>INDEXED</v>
      </c>
      <c r="N361" s="1" t="str">
        <f>IF(H361=1,"FLAG / HOLD","INDEXED")</f>
        <v>INDEXED</v>
      </c>
      <c r="O361" s="1" t="s">
        <v>18</v>
      </c>
      <c r="P361" s="1" t="s">
        <v>19</v>
      </c>
      <c r="Q361" s="1"/>
      <c r="R361" s="1"/>
      <c r="S361" s="1"/>
      <c r="T361" s="1"/>
      <c r="U361" s="1"/>
    </row>
    <row r="362" spans="1:21" x14ac:dyDescent="0.2">
      <c r="A362" s="7" t="s">
        <v>382</v>
      </c>
      <c r="B362" s="7">
        <v>5</v>
      </c>
      <c r="C362" s="7">
        <v>5</v>
      </c>
      <c r="D362" s="7" t="str">
        <f>IF(B362=C362,"MATCH","MISMATCH")</f>
        <v>MATCH</v>
      </c>
      <c r="E362" s="7">
        <f>IF(F362="None",1,0)</f>
        <v>1</v>
      </c>
      <c r="F362" s="7" t="s">
        <v>17</v>
      </c>
      <c r="G362" s="7">
        <v>0</v>
      </c>
      <c r="H362" s="7">
        <v>0</v>
      </c>
      <c r="I362" s="7">
        <f>IF(AND(E362=0,G362=0),1,0)</f>
        <v>0</v>
      </c>
      <c r="J362" s="7">
        <f>IF(AND(E362=0,H362=0),1,0)</f>
        <v>0</v>
      </c>
      <c r="K362" s="7">
        <f>I362*'05 Methodology'!$B$7</f>
        <v>0</v>
      </c>
      <c r="L362" s="7">
        <f>J362*'05 Methodology'!$B$7</f>
        <v>0</v>
      </c>
      <c r="M362" s="7" t="str">
        <f>IF(G362=1,"FLAG / HOLD","INDEXED")</f>
        <v>INDEXED</v>
      </c>
      <c r="N362" s="1" t="str">
        <f>IF(H362=1,"FLAG / HOLD","INDEXED")</f>
        <v>INDEXED</v>
      </c>
      <c r="O362" s="1" t="s">
        <v>18</v>
      </c>
      <c r="P362" s="1" t="s">
        <v>19</v>
      </c>
      <c r="Q362" s="1"/>
      <c r="R362" s="1"/>
      <c r="S362" s="1"/>
      <c r="T362" s="1"/>
      <c r="U362" s="1"/>
    </row>
    <row r="363" spans="1:21" x14ac:dyDescent="0.2">
      <c r="A363" s="7" t="s">
        <v>383</v>
      </c>
      <c r="B363" s="7">
        <v>6</v>
      </c>
      <c r="C363" s="7">
        <v>6</v>
      </c>
      <c r="D363" s="7" t="str">
        <f>IF(B363=C363,"MATCH","MISMATCH")</f>
        <v>MATCH</v>
      </c>
      <c r="E363" s="7">
        <f>IF(F363="None",1,0)</f>
        <v>1</v>
      </c>
      <c r="F363" s="7" t="s">
        <v>17</v>
      </c>
      <c r="G363" s="7">
        <v>0</v>
      </c>
      <c r="H363" s="7">
        <v>0</v>
      </c>
      <c r="I363" s="7">
        <f>IF(AND(E363=0,G363=0),1,0)</f>
        <v>0</v>
      </c>
      <c r="J363" s="7">
        <f>IF(AND(E363=0,H363=0),1,0)</f>
        <v>0</v>
      </c>
      <c r="K363" s="7">
        <f>I363*'05 Methodology'!$B$7</f>
        <v>0</v>
      </c>
      <c r="L363" s="7">
        <f>J363*'05 Methodology'!$B$7</f>
        <v>0</v>
      </c>
      <c r="M363" s="7" t="str">
        <f>IF(G363=1,"FLAG / HOLD","INDEXED")</f>
        <v>INDEXED</v>
      </c>
      <c r="N363" s="1" t="str">
        <f>IF(H363=1,"FLAG / HOLD","INDEXED")</f>
        <v>INDEXED</v>
      </c>
      <c r="O363" s="1" t="s">
        <v>18</v>
      </c>
      <c r="P363" s="1" t="s">
        <v>19</v>
      </c>
      <c r="Q363" s="1"/>
      <c r="R363" s="1"/>
      <c r="S363" s="1"/>
      <c r="T363" s="1"/>
      <c r="U363" s="1"/>
    </row>
    <row r="364" spans="1:21" x14ac:dyDescent="0.2">
      <c r="A364" s="7" t="s">
        <v>384</v>
      </c>
      <c r="B364" s="7">
        <v>7</v>
      </c>
      <c r="C364" s="7">
        <v>7</v>
      </c>
      <c r="D364" s="7" t="str">
        <f>IF(B364=C364,"MATCH","MISMATCH")</f>
        <v>MATCH</v>
      </c>
      <c r="E364" s="7">
        <f>IF(F364="None",1,0)</f>
        <v>1</v>
      </c>
      <c r="F364" s="7" t="s">
        <v>17</v>
      </c>
      <c r="G364" s="7">
        <v>0</v>
      </c>
      <c r="H364" s="7">
        <v>0</v>
      </c>
      <c r="I364" s="7">
        <f>IF(AND(E364=0,G364=0),1,0)</f>
        <v>0</v>
      </c>
      <c r="J364" s="7">
        <f>IF(AND(E364=0,H364=0),1,0)</f>
        <v>0</v>
      </c>
      <c r="K364" s="7">
        <f>I364*'05 Methodology'!$B$7</f>
        <v>0</v>
      </c>
      <c r="L364" s="7">
        <f>J364*'05 Methodology'!$B$7</f>
        <v>0</v>
      </c>
      <c r="M364" s="7" t="str">
        <f>IF(G364=1,"FLAG / HOLD","INDEXED")</f>
        <v>INDEXED</v>
      </c>
      <c r="N364" s="1" t="str">
        <f>IF(H364=1,"FLAG / HOLD","INDEXED")</f>
        <v>INDEXED</v>
      </c>
      <c r="O364" s="1" t="s">
        <v>18</v>
      </c>
      <c r="P364" s="1" t="s">
        <v>19</v>
      </c>
      <c r="Q364" s="1"/>
      <c r="R364" s="1"/>
      <c r="S364" s="1"/>
      <c r="T364" s="1"/>
      <c r="U364" s="1"/>
    </row>
    <row r="365" spans="1:21" x14ac:dyDescent="0.2">
      <c r="A365" s="7" t="s">
        <v>385</v>
      </c>
      <c r="B365" s="7">
        <v>6</v>
      </c>
      <c r="C365" s="7">
        <v>6</v>
      </c>
      <c r="D365" s="7" t="str">
        <f>IF(B365=C365,"MATCH","MISMATCH")</f>
        <v>MATCH</v>
      </c>
      <c r="E365" s="7">
        <f>IF(F365="None",1,0)</f>
        <v>1</v>
      </c>
      <c r="F365" s="7" t="s">
        <v>17</v>
      </c>
      <c r="G365" s="7">
        <v>0</v>
      </c>
      <c r="H365" s="7">
        <v>0</v>
      </c>
      <c r="I365" s="7">
        <f>IF(AND(E365=0,G365=0),1,0)</f>
        <v>0</v>
      </c>
      <c r="J365" s="7">
        <f>IF(AND(E365=0,H365=0),1,0)</f>
        <v>0</v>
      </c>
      <c r="K365" s="7">
        <f>I365*'05 Methodology'!$B$7</f>
        <v>0</v>
      </c>
      <c r="L365" s="7">
        <f>J365*'05 Methodology'!$B$7</f>
        <v>0</v>
      </c>
      <c r="M365" s="7" t="str">
        <f>IF(G365=1,"FLAG / HOLD","INDEXED")</f>
        <v>INDEXED</v>
      </c>
      <c r="N365" s="1" t="str">
        <f>IF(H365=1,"FLAG / HOLD","INDEXED")</f>
        <v>INDEXED</v>
      </c>
      <c r="O365" s="1" t="s">
        <v>18</v>
      </c>
      <c r="P365" s="1" t="s">
        <v>19</v>
      </c>
      <c r="Q365" s="1"/>
      <c r="R365" s="1"/>
      <c r="S365" s="1"/>
      <c r="T365" s="1"/>
      <c r="U365" s="1"/>
    </row>
    <row r="366" spans="1:21" x14ac:dyDescent="0.2">
      <c r="A366" s="7" t="s">
        <v>386</v>
      </c>
      <c r="B366" s="7">
        <v>4</v>
      </c>
      <c r="C366" s="7">
        <v>4</v>
      </c>
      <c r="D366" s="7" t="str">
        <f>IF(B366=C366,"MATCH","MISMATCH")</f>
        <v>MATCH</v>
      </c>
      <c r="E366" s="7">
        <f>IF(F366="None",1,0)</f>
        <v>1</v>
      </c>
      <c r="F366" s="7" t="s">
        <v>17</v>
      </c>
      <c r="G366" s="7">
        <v>0</v>
      </c>
      <c r="H366" s="7">
        <v>0</v>
      </c>
      <c r="I366" s="7">
        <f>IF(AND(E366=0,G366=0),1,0)</f>
        <v>0</v>
      </c>
      <c r="J366" s="7">
        <f>IF(AND(E366=0,H366=0),1,0)</f>
        <v>0</v>
      </c>
      <c r="K366" s="7">
        <f>I366*'05 Methodology'!$B$7</f>
        <v>0</v>
      </c>
      <c r="L366" s="7">
        <f>J366*'05 Methodology'!$B$7</f>
        <v>0</v>
      </c>
      <c r="M366" s="7" t="str">
        <f>IF(G366=1,"FLAG / HOLD","INDEXED")</f>
        <v>INDEXED</v>
      </c>
      <c r="N366" s="1" t="str">
        <f>IF(H366=1,"FLAG / HOLD","INDEXED")</f>
        <v>INDEXED</v>
      </c>
      <c r="O366" s="1" t="s">
        <v>18</v>
      </c>
      <c r="P366" s="1" t="s">
        <v>19</v>
      </c>
      <c r="Q366" s="1"/>
      <c r="R366" s="1"/>
      <c r="S366" s="1"/>
      <c r="T366" s="1"/>
      <c r="U366" s="1"/>
    </row>
    <row r="367" spans="1:21" x14ac:dyDescent="0.2">
      <c r="A367" s="7" t="s">
        <v>387</v>
      </c>
      <c r="B367" s="7">
        <v>5</v>
      </c>
      <c r="C367" s="7">
        <v>5</v>
      </c>
      <c r="D367" s="7" t="str">
        <f>IF(B367=C367,"MATCH","MISMATCH")</f>
        <v>MATCH</v>
      </c>
      <c r="E367" s="7">
        <f>IF(F367="None",1,0)</f>
        <v>1</v>
      </c>
      <c r="F367" s="7" t="s">
        <v>17</v>
      </c>
      <c r="G367" s="7">
        <v>0</v>
      </c>
      <c r="H367" s="7">
        <v>0</v>
      </c>
      <c r="I367" s="7">
        <f>IF(AND(E367=0,G367=0),1,0)</f>
        <v>0</v>
      </c>
      <c r="J367" s="7">
        <f>IF(AND(E367=0,H367=0),1,0)</f>
        <v>0</v>
      </c>
      <c r="K367" s="7">
        <f>I367*'05 Methodology'!$B$7</f>
        <v>0</v>
      </c>
      <c r="L367" s="7">
        <f>J367*'05 Methodology'!$B$7</f>
        <v>0</v>
      </c>
      <c r="M367" s="7" t="str">
        <f>IF(G367=1,"FLAG / HOLD","INDEXED")</f>
        <v>INDEXED</v>
      </c>
      <c r="N367" s="1" t="str">
        <f>IF(H367=1,"FLAG / HOLD","INDEXED")</f>
        <v>INDEXED</v>
      </c>
      <c r="O367" s="1" t="s">
        <v>18</v>
      </c>
      <c r="P367" s="1" t="s">
        <v>19</v>
      </c>
      <c r="Q367" s="1"/>
      <c r="R367" s="1"/>
      <c r="S367" s="1"/>
      <c r="T367" s="1"/>
      <c r="U367" s="1"/>
    </row>
    <row r="368" spans="1:21" x14ac:dyDescent="0.2">
      <c r="A368" s="7" t="s">
        <v>388</v>
      </c>
      <c r="B368" s="7">
        <v>6</v>
      </c>
      <c r="C368" s="7">
        <v>6</v>
      </c>
      <c r="D368" s="7" t="str">
        <f>IF(B368=C368,"MATCH","MISMATCH")</f>
        <v>MATCH</v>
      </c>
      <c r="E368" s="7">
        <f>IF(F368="None",1,0)</f>
        <v>1</v>
      </c>
      <c r="F368" s="7" t="s">
        <v>17</v>
      </c>
      <c r="G368" s="7">
        <v>0</v>
      </c>
      <c r="H368" s="7">
        <v>0</v>
      </c>
      <c r="I368" s="7">
        <f>IF(AND(E368=0,G368=0),1,0)</f>
        <v>0</v>
      </c>
      <c r="J368" s="7">
        <f>IF(AND(E368=0,H368=0),1,0)</f>
        <v>0</v>
      </c>
      <c r="K368" s="7">
        <f>I368*'05 Methodology'!$B$7</f>
        <v>0</v>
      </c>
      <c r="L368" s="7">
        <f>J368*'05 Methodology'!$B$7</f>
        <v>0</v>
      </c>
      <c r="M368" s="7" t="str">
        <f>IF(G368=1,"FLAG / HOLD","INDEXED")</f>
        <v>INDEXED</v>
      </c>
      <c r="N368" s="1" t="str">
        <f>IF(H368=1,"FLAG / HOLD","INDEXED")</f>
        <v>INDEXED</v>
      </c>
      <c r="O368" s="1" t="s">
        <v>18</v>
      </c>
      <c r="P368" s="1" t="s">
        <v>19</v>
      </c>
      <c r="Q368" s="1"/>
      <c r="R368" s="1"/>
      <c r="S368" s="1"/>
      <c r="T368" s="1"/>
      <c r="U368" s="1"/>
    </row>
    <row r="369" spans="1:21" x14ac:dyDescent="0.2">
      <c r="A369" s="7" t="s">
        <v>389</v>
      </c>
      <c r="B369" s="7">
        <v>7</v>
      </c>
      <c r="C369" s="7">
        <v>7</v>
      </c>
      <c r="D369" s="7" t="str">
        <f>IF(B369=C369,"MATCH","MISMATCH")</f>
        <v>MATCH</v>
      </c>
      <c r="E369" s="7">
        <f>IF(F369="None",1,0)</f>
        <v>1</v>
      </c>
      <c r="F369" s="7" t="s">
        <v>17</v>
      </c>
      <c r="G369" s="7">
        <v>0</v>
      </c>
      <c r="H369" s="7">
        <v>0</v>
      </c>
      <c r="I369" s="7">
        <f>IF(AND(E369=0,G369=0),1,0)</f>
        <v>0</v>
      </c>
      <c r="J369" s="7">
        <f>IF(AND(E369=0,H369=0),1,0)</f>
        <v>0</v>
      </c>
      <c r="K369" s="7">
        <f>I369*'05 Methodology'!$B$7</f>
        <v>0</v>
      </c>
      <c r="L369" s="7">
        <f>J369*'05 Methodology'!$B$7</f>
        <v>0</v>
      </c>
      <c r="M369" s="7" t="str">
        <f>IF(G369=1,"FLAG / HOLD","INDEXED")</f>
        <v>INDEXED</v>
      </c>
      <c r="N369" s="1" t="str">
        <f>IF(H369=1,"FLAG / HOLD","INDEXED")</f>
        <v>INDEXED</v>
      </c>
      <c r="O369" s="1" t="s">
        <v>18</v>
      </c>
      <c r="P369" s="1" t="s">
        <v>19</v>
      </c>
      <c r="Q369" s="1"/>
      <c r="R369" s="1"/>
      <c r="S369" s="1"/>
      <c r="T369" s="1"/>
      <c r="U369" s="1"/>
    </row>
    <row r="370" spans="1:21" x14ac:dyDescent="0.2">
      <c r="A370" s="7" t="s">
        <v>390</v>
      </c>
      <c r="B370" s="7">
        <v>8</v>
      </c>
      <c r="C370" s="7">
        <v>8</v>
      </c>
      <c r="D370" s="7" t="str">
        <f>IF(B370=C370,"MATCH","MISMATCH")</f>
        <v>MATCH</v>
      </c>
      <c r="E370" s="7">
        <f>IF(F370="None",1,0)</f>
        <v>1</v>
      </c>
      <c r="F370" s="7" t="s">
        <v>17</v>
      </c>
      <c r="G370" s="7">
        <v>0</v>
      </c>
      <c r="H370" s="7">
        <v>0</v>
      </c>
      <c r="I370" s="7">
        <f>IF(AND(E370=0,G370=0),1,0)</f>
        <v>0</v>
      </c>
      <c r="J370" s="7">
        <f>IF(AND(E370=0,H370=0),1,0)</f>
        <v>0</v>
      </c>
      <c r="K370" s="7">
        <f>I370*'05 Methodology'!$B$7</f>
        <v>0</v>
      </c>
      <c r="L370" s="7">
        <f>J370*'05 Methodology'!$B$7</f>
        <v>0</v>
      </c>
      <c r="M370" s="7" t="str">
        <f>IF(G370=1,"FLAG / HOLD","INDEXED")</f>
        <v>INDEXED</v>
      </c>
      <c r="N370" s="1" t="str">
        <f>IF(H370=1,"FLAG / HOLD","INDEXED")</f>
        <v>INDEXED</v>
      </c>
      <c r="O370" s="1" t="s">
        <v>18</v>
      </c>
      <c r="P370" s="1" t="s">
        <v>19</v>
      </c>
      <c r="Q370" s="1"/>
      <c r="R370" s="1"/>
      <c r="S370" s="1"/>
      <c r="T370" s="1"/>
      <c r="U370" s="1"/>
    </row>
    <row r="371" spans="1:21" x14ac:dyDescent="0.2">
      <c r="A371" s="7" t="s">
        <v>391</v>
      </c>
      <c r="B371" s="7">
        <v>4</v>
      </c>
      <c r="C371" s="7">
        <v>4</v>
      </c>
      <c r="D371" s="7" t="str">
        <f>IF(B371=C371,"MATCH","MISMATCH")</f>
        <v>MATCH</v>
      </c>
      <c r="E371" s="7">
        <f>IF(F371="None",1,0)</f>
        <v>1</v>
      </c>
      <c r="F371" s="7" t="s">
        <v>17</v>
      </c>
      <c r="G371" s="7">
        <v>0</v>
      </c>
      <c r="H371" s="7">
        <v>0</v>
      </c>
      <c r="I371" s="7">
        <f>IF(AND(E371=0,G371=0),1,0)</f>
        <v>0</v>
      </c>
      <c r="J371" s="7">
        <f>IF(AND(E371=0,H371=0),1,0)</f>
        <v>0</v>
      </c>
      <c r="K371" s="7">
        <f>I371*'05 Methodology'!$B$7</f>
        <v>0</v>
      </c>
      <c r="L371" s="7">
        <f>J371*'05 Methodology'!$B$7</f>
        <v>0</v>
      </c>
      <c r="M371" s="7" t="str">
        <f>IF(G371=1,"FLAG / HOLD","INDEXED")</f>
        <v>INDEXED</v>
      </c>
      <c r="N371" s="1" t="str">
        <f>IF(H371=1,"FLAG / HOLD","INDEXED")</f>
        <v>INDEXED</v>
      </c>
      <c r="O371" s="1" t="s">
        <v>18</v>
      </c>
      <c r="P371" s="1" t="s">
        <v>19</v>
      </c>
      <c r="Q371" s="1"/>
      <c r="R371" s="1"/>
      <c r="S371" s="1"/>
      <c r="T371" s="1"/>
      <c r="U371" s="1"/>
    </row>
    <row r="372" spans="1:21" x14ac:dyDescent="0.2">
      <c r="A372" s="7" t="s">
        <v>392</v>
      </c>
      <c r="B372" s="7">
        <v>6</v>
      </c>
      <c r="C372" s="7">
        <v>5</v>
      </c>
      <c r="D372" s="7" t="str">
        <f>IF(B372=C372,"MATCH","MISMATCH")</f>
        <v>MISMATCH</v>
      </c>
      <c r="E372" s="7">
        <f>IF(F372="None",1,0)</f>
        <v>0</v>
      </c>
      <c r="F372" s="7" t="s">
        <v>38</v>
      </c>
      <c r="G372" s="7">
        <v>1</v>
      </c>
      <c r="H372" s="7">
        <v>1</v>
      </c>
      <c r="I372" s="7">
        <f>IF(AND(E372=0,G372=0),1,0)</f>
        <v>0</v>
      </c>
      <c r="J372" s="7">
        <f>IF(AND(E372=0,H372=0),1,0)</f>
        <v>0</v>
      </c>
      <c r="K372" s="7">
        <f>I372*'05 Methodology'!$B$7</f>
        <v>0</v>
      </c>
      <c r="L372" s="7">
        <f>J372*'05 Methodology'!$B$7</f>
        <v>0</v>
      </c>
      <c r="M372" s="7" t="str">
        <f>IF(G372=1,"FLAG / HOLD","INDEXED")</f>
        <v>FLAG / HOLD</v>
      </c>
      <c r="N372" s="1" t="str">
        <f>IF(H372=1,"FLAG / HOLD","INDEXED")</f>
        <v>FLAG / HOLD</v>
      </c>
      <c r="O372" s="1" t="s">
        <v>18</v>
      </c>
      <c r="P372" s="1" t="s">
        <v>19</v>
      </c>
      <c r="Q372" s="1"/>
      <c r="R372" s="1"/>
      <c r="S372" s="1"/>
      <c r="T372" s="1"/>
      <c r="U372" s="1"/>
    </row>
    <row r="373" spans="1:21" x14ac:dyDescent="0.2">
      <c r="A373" s="7" t="s">
        <v>393</v>
      </c>
      <c r="B373" s="7">
        <v>6</v>
      </c>
      <c r="C373" s="7">
        <v>6</v>
      </c>
      <c r="D373" s="7" t="str">
        <f>IF(B373=C373,"MATCH","MISMATCH")</f>
        <v>MATCH</v>
      </c>
      <c r="E373" s="7">
        <f>IF(F373="None",1,0)</f>
        <v>1</v>
      </c>
      <c r="F373" s="7" t="s">
        <v>17</v>
      </c>
      <c r="G373" s="7">
        <v>0</v>
      </c>
      <c r="H373" s="7">
        <v>0</v>
      </c>
      <c r="I373" s="7">
        <f>IF(AND(E373=0,G373=0),1,0)</f>
        <v>0</v>
      </c>
      <c r="J373" s="7">
        <f>IF(AND(E373=0,H373=0),1,0)</f>
        <v>0</v>
      </c>
      <c r="K373" s="7">
        <f>I373*'05 Methodology'!$B$7</f>
        <v>0</v>
      </c>
      <c r="L373" s="7">
        <f>J373*'05 Methodology'!$B$7</f>
        <v>0</v>
      </c>
      <c r="M373" s="7" t="str">
        <f>IF(G373=1,"FLAG / HOLD","INDEXED")</f>
        <v>INDEXED</v>
      </c>
      <c r="N373" s="1" t="str">
        <f>IF(H373=1,"FLAG / HOLD","INDEXED")</f>
        <v>INDEXED</v>
      </c>
      <c r="O373" s="1" t="s">
        <v>18</v>
      </c>
      <c r="P373" s="1" t="s">
        <v>19</v>
      </c>
      <c r="Q373" s="1"/>
      <c r="R373" s="1"/>
      <c r="S373" s="1"/>
      <c r="T373" s="1"/>
      <c r="U373" s="1"/>
    </row>
    <row r="374" spans="1:21" x14ac:dyDescent="0.2">
      <c r="A374" s="7" t="s">
        <v>394</v>
      </c>
      <c r="B374" s="7">
        <v>7</v>
      </c>
      <c r="C374" s="7">
        <v>7</v>
      </c>
      <c r="D374" s="7" t="str">
        <f>IF(B374=C374,"MATCH","MISMATCH")</f>
        <v>MATCH</v>
      </c>
      <c r="E374" s="7">
        <f>IF(F374="None",1,0)</f>
        <v>1</v>
      </c>
      <c r="F374" s="7" t="s">
        <v>17</v>
      </c>
      <c r="G374" s="7">
        <v>0</v>
      </c>
      <c r="H374" s="7">
        <v>0</v>
      </c>
      <c r="I374" s="7">
        <f>IF(AND(E374=0,G374=0),1,0)</f>
        <v>0</v>
      </c>
      <c r="J374" s="7">
        <f>IF(AND(E374=0,H374=0),1,0)</f>
        <v>0</v>
      </c>
      <c r="K374" s="7">
        <f>I374*'05 Methodology'!$B$7</f>
        <v>0</v>
      </c>
      <c r="L374" s="7">
        <f>J374*'05 Methodology'!$B$7</f>
        <v>0</v>
      </c>
      <c r="M374" s="7" t="str">
        <f>IF(G374=1,"FLAG / HOLD","INDEXED")</f>
        <v>INDEXED</v>
      </c>
      <c r="N374" s="1" t="str">
        <f>IF(H374=1,"FLAG / HOLD","INDEXED")</f>
        <v>INDEXED</v>
      </c>
      <c r="O374" s="1" t="s">
        <v>18</v>
      </c>
      <c r="P374" s="1" t="s">
        <v>19</v>
      </c>
      <c r="Q374" s="1"/>
      <c r="R374" s="1"/>
      <c r="S374" s="1"/>
      <c r="T374" s="1"/>
      <c r="U374" s="1"/>
    </row>
    <row r="375" spans="1:21" x14ac:dyDescent="0.2">
      <c r="A375" s="7" t="s">
        <v>395</v>
      </c>
      <c r="B375" s="7">
        <v>8</v>
      </c>
      <c r="C375" s="7">
        <v>8</v>
      </c>
      <c r="D375" s="7" t="str">
        <f>IF(B375=C375,"MATCH","MISMATCH")</f>
        <v>MATCH</v>
      </c>
      <c r="E375" s="7">
        <f>IF(F375="None",1,0)</f>
        <v>1</v>
      </c>
      <c r="F375" s="7" t="s">
        <v>17</v>
      </c>
      <c r="G375" s="7">
        <v>0</v>
      </c>
      <c r="H375" s="7">
        <v>0</v>
      </c>
      <c r="I375" s="7">
        <f>IF(AND(E375=0,G375=0),1,0)</f>
        <v>0</v>
      </c>
      <c r="J375" s="7">
        <f>IF(AND(E375=0,H375=0),1,0)</f>
        <v>0</v>
      </c>
      <c r="K375" s="7">
        <f>I375*'05 Methodology'!$B$7</f>
        <v>0</v>
      </c>
      <c r="L375" s="7">
        <f>J375*'05 Methodology'!$B$7</f>
        <v>0</v>
      </c>
      <c r="M375" s="7" t="str">
        <f>IF(G375=1,"FLAG / HOLD","INDEXED")</f>
        <v>INDEXED</v>
      </c>
      <c r="N375" s="1" t="str">
        <f>IF(H375=1,"FLAG / HOLD","INDEXED")</f>
        <v>INDEXED</v>
      </c>
      <c r="O375" s="1" t="s">
        <v>18</v>
      </c>
      <c r="P375" s="1" t="s">
        <v>19</v>
      </c>
      <c r="Q375" s="1"/>
      <c r="R375" s="1"/>
      <c r="S375" s="1"/>
      <c r="T375" s="1"/>
      <c r="U375" s="1"/>
    </row>
    <row r="376" spans="1:21" x14ac:dyDescent="0.2">
      <c r="A376" s="7" t="s">
        <v>396</v>
      </c>
      <c r="B376" s="7">
        <v>4</v>
      </c>
      <c r="C376" s="7">
        <v>4</v>
      </c>
      <c r="D376" s="7" t="str">
        <f>IF(B376=C376,"MATCH","MISMATCH")</f>
        <v>MATCH</v>
      </c>
      <c r="E376" s="7">
        <f>IF(F376="None",1,0)</f>
        <v>0</v>
      </c>
      <c r="F376" s="7" t="s">
        <v>24</v>
      </c>
      <c r="G376" s="7">
        <v>1</v>
      </c>
      <c r="H376" s="7">
        <v>1</v>
      </c>
      <c r="I376" s="7">
        <f>IF(AND(E376=0,G376=0),1,0)</f>
        <v>0</v>
      </c>
      <c r="J376" s="7">
        <f>IF(AND(E376=0,H376=0),1,0)</f>
        <v>0</v>
      </c>
      <c r="K376" s="7">
        <f>I376*'05 Methodology'!$B$7</f>
        <v>0</v>
      </c>
      <c r="L376" s="7">
        <f>J376*'05 Methodology'!$B$7</f>
        <v>0</v>
      </c>
      <c r="M376" s="7" t="str">
        <f>IF(G376=1,"FLAG / HOLD","INDEXED")</f>
        <v>FLAG / HOLD</v>
      </c>
      <c r="N376" s="1" t="str">
        <f>IF(H376=1,"FLAG / HOLD","INDEXED")</f>
        <v>FLAG / HOLD</v>
      </c>
      <c r="O376" s="1" t="s">
        <v>18</v>
      </c>
      <c r="P376" s="1" t="s">
        <v>25</v>
      </c>
      <c r="Q376" s="1"/>
      <c r="R376" s="1"/>
      <c r="S376" s="1"/>
      <c r="T376" s="1"/>
      <c r="U376" s="1"/>
    </row>
    <row r="377" spans="1:21" x14ac:dyDescent="0.2">
      <c r="A377" s="7" t="s">
        <v>397</v>
      </c>
      <c r="B377" s="7">
        <v>5</v>
      </c>
      <c r="C377" s="7">
        <v>5</v>
      </c>
      <c r="D377" s="7" t="str">
        <f>IF(B377=C377,"MATCH","MISMATCH")</f>
        <v>MATCH</v>
      </c>
      <c r="E377" s="7">
        <f>IF(F377="None",1,0)</f>
        <v>1</v>
      </c>
      <c r="F377" s="7" t="s">
        <v>17</v>
      </c>
      <c r="G377" s="7">
        <v>0</v>
      </c>
      <c r="H377" s="7">
        <v>0</v>
      </c>
      <c r="I377" s="7">
        <f>IF(AND(E377=0,G377=0),1,0)</f>
        <v>0</v>
      </c>
      <c r="J377" s="7">
        <f>IF(AND(E377=0,H377=0),1,0)</f>
        <v>0</v>
      </c>
      <c r="K377" s="7">
        <f>I377*'05 Methodology'!$B$7</f>
        <v>0</v>
      </c>
      <c r="L377" s="7">
        <f>J377*'05 Methodology'!$B$7</f>
        <v>0</v>
      </c>
      <c r="M377" s="7" t="str">
        <f>IF(G377=1,"FLAG / HOLD","INDEXED")</f>
        <v>INDEXED</v>
      </c>
      <c r="N377" s="1" t="str">
        <f>IF(H377=1,"FLAG / HOLD","INDEXED")</f>
        <v>INDEXED</v>
      </c>
      <c r="O377" s="1" t="s">
        <v>18</v>
      </c>
      <c r="P377" s="1" t="s">
        <v>19</v>
      </c>
      <c r="Q377" s="1"/>
      <c r="R377" s="1"/>
      <c r="S377" s="1"/>
      <c r="T377" s="1"/>
      <c r="U377" s="1"/>
    </row>
    <row r="378" spans="1:21" x14ac:dyDescent="0.2">
      <c r="A378" s="7" t="s">
        <v>398</v>
      </c>
      <c r="B378" s="7">
        <v>6</v>
      </c>
      <c r="C378" s="7">
        <v>6</v>
      </c>
      <c r="D378" s="7" t="str">
        <f>IF(B378=C378,"MATCH","MISMATCH")</f>
        <v>MATCH</v>
      </c>
      <c r="E378" s="7">
        <f>IF(F378="None",1,0)</f>
        <v>1</v>
      </c>
      <c r="F378" s="7" t="s">
        <v>17</v>
      </c>
      <c r="G378" s="7">
        <v>0</v>
      </c>
      <c r="H378" s="7">
        <v>0</v>
      </c>
      <c r="I378" s="7">
        <f>IF(AND(E378=0,G378=0),1,0)</f>
        <v>0</v>
      </c>
      <c r="J378" s="7">
        <f>IF(AND(E378=0,H378=0),1,0)</f>
        <v>0</v>
      </c>
      <c r="K378" s="7">
        <f>I378*'05 Methodology'!$B$7</f>
        <v>0</v>
      </c>
      <c r="L378" s="7">
        <f>J378*'05 Methodology'!$B$7</f>
        <v>0</v>
      </c>
      <c r="M378" s="7" t="str">
        <f>IF(G378=1,"FLAG / HOLD","INDEXED")</f>
        <v>INDEXED</v>
      </c>
      <c r="N378" s="1" t="str">
        <f>IF(H378=1,"FLAG / HOLD","INDEXED")</f>
        <v>INDEXED</v>
      </c>
      <c r="O378" s="1" t="s">
        <v>18</v>
      </c>
      <c r="P378" s="1" t="s">
        <v>19</v>
      </c>
      <c r="Q378" s="1"/>
      <c r="R378" s="1"/>
      <c r="S378" s="1"/>
      <c r="T378" s="1"/>
      <c r="U378" s="1"/>
    </row>
    <row r="379" spans="1:21" x14ac:dyDescent="0.2">
      <c r="A379" s="7" t="s">
        <v>399</v>
      </c>
      <c r="B379" s="7">
        <v>6</v>
      </c>
      <c r="C379" s="7">
        <v>6</v>
      </c>
      <c r="D379" s="7" t="str">
        <f>IF(B379=C379,"MATCH","MISMATCH")</f>
        <v>MATCH</v>
      </c>
      <c r="E379" s="7">
        <f>IF(F379="None",1,0)</f>
        <v>1</v>
      </c>
      <c r="F379" s="7" t="s">
        <v>17</v>
      </c>
      <c r="G379" s="7">
        <v>0</v>
      </c>
      <c r="H379" s="7">
        <v>0</v>
      </c>
      <c r="I379" s="7">
        <f>IF(AND(E379=0,G379=0),1,0)</f>
        <v>0</v>
      </c>
      <c r="J379" s="7">
        <f>IF(AND(E379=0,H379=0),1,0)</f>
        <v>0</v>
      </c>
      <c r="K379" s="7">
        <f>I379*'05 Methodology'!$B$7</f>
        <v>0</v>
      </c>
      <c r="L379" s="7">
        <f>J379*'05 Methodology'!$B$7</f>
        <v>0</v>
      </c>
      <c r="M379" s="7" t="str">
        <f>IF(G379=1,"FLAG / HOLD","INDEXED")</f>
        <v>INDEXED</v>
      </c>
      <c r="N379" s="1" t="str">
        <f>IF(H379=1,"FLAG / HOLD","INDEXED")</f>
        <v>INDEXED</v>
      </c>
      <c r="O379" s="1" t="s">
        <v>18</v>
      </c>
      <c r="P379" s="1" t="s">
        <v>19</v>
      </c>
      <c r="Q379" s="1"/>
      <c r="R379" s="1"/>
      <c r="S379" s="1"/>
      <c r="T379" s="1"/>
      <c r="U379" s="1"/>
    </row>
    <row r="380" spans="1:21" x14ac:dyDescent="0.2">
      <c r="A380" s="7" t="s">
        <v>400</v>
      </c>
      <c r="B380" s="7">
        <v>8</v>
      </c>
      <c r="C380" s="7">
        <v>8</v>
      </c>
      <c r="D380" s="7" t="str">
        <f>IF(B380=C380,"MATCH","MISMATCH")</f>
        <v>MATCH</v>
      </c>
      <c r="E380" s="7">
        <f>IF(F380="None",1,0)</f>
        <v>1</v>
      </c>
      <c r="F380" s="7" t="s">
        <v>17</v>
      </c>
      <c r="G380" s="7">
        <v>0</v>
      </c>
      <c r="H380" s="7">
        <v>0</v>
      </c>
      <c r="I380" s="7">
        <f>IF(AND(E380=0,G380=0),1,0)</f>
        <v>0</v>
      </c>
      <c r="J380" s="7">
        <f>IF(AND(E380=0,H380=0),1,0)</f>
        <v>0</v>
      </c>
      <c r="K380" s="7">
        <f>I380*'05 Methodology'!$B$7</f>
        <v>0</v>
      </c>
      <c r="L380" s="7">
        <f>J380*'05 Methodology'!$B$7</f>
        <v>0</v>
      </c>
      <c r="M380" s="7" t="str">
        <f>IF(G380=1,"FLAG / HOLD","INDEXED")</f>
        <v>INDEXED</v>
      </c>
      <c r="N380" s="1" t="str">
        <f>IF(H380=1,"FLAG / HOLD","INDEXED")</f>
        <v>INDEXED</v>
      </c>
      <c r="O380" s="1" t="s">
        <v>18</v>
      </c>
      <c r="P380" s="1" t="s">
        <v>19</v>
      </c>
      <c r="Q380" s="1"/>
      <c r="R380" s="1"/>
      <c r="S380" s="1"/>
      <c r="T380" s="1"/>
      <c r="U380" s="1"/>
    </row>
    <row r="381" spans="1:21" x14ac:dyDescent="0.2">
      <c r="A381" s="7" t="s">
        <v>401</v>
      </c>
      <c r="B381" s="7">
        <v>4</v>
      </c>
      <c r="C381" s="7">
        <v>4</v>
      </c>
      <c r="D381" s="7" t="str">
        <f>IF(B381=C381,"MATCH","MISMATCH")</f>
        <v>MATCH</v>
      </c>
      <c r="E381" s="7">
        <f>IF(F381="None",1,0)</f>
        <v>1</v>
      </c>
      <c r="F381" s="7" t="s">
        <v>17</v>
      </c>
      <c r="G381" s="7">
        <v>0</v>
      </c>
      <c r="H381" s="7">
        <v>0</v>
      </c>
      <c r="I381" s="7">
        <f>IF(AND(E381=0,G381=0),1,0)</f>
        <v>0</v>
      </c>
      <c r="J381" s="7">
        <f>IF(AND(E381=0,H381=0),1,0)</f>
        <v>0</v>
      </c>
      <c r="K381" s="7">
        <f>I381*'05 Methodology'!$B$7</f>
        <v>0</v>
      </c>
      <c r="L381" s="7">
        <f>J381*'05 Methodology'!$B$7</f>
        <v>0</v>
      </c>
      <c r="M381" s="7" t="str">
        <f>IF(G381=1,"FLAG / HOLD","INDEXED")</f>
        <v>INDEXED</v>
      </c>
      <c r="N381" s="1" t="str">
        <f>IF(H381=1,"FLAG / HOLD","INDEXED")</f>
        <v>INDEXED</v>
      </c>
      <c r="O381" s="1" t="s">
        <v>18</v>
      </c>
      <c r="P381" s="1" t="s">
        <v>19</v>
      </c>
      <c r="Q381" s="1"/>
      <c r="R381" s="1"/>
      <c r="S381" s="1"/>
      <c r="T381" s="1"/>
      <c r="U381" s="1"/>
    </row>
    <row r="382" spans="1:21" x14ac:dyDescent="0.2">
      <c r="A382" s="7" t="s">
        <v>402</v>
      </c>
      <c r="B382" s="7">
        <v>5</v>
      </c>
      <c r="C382" s="7">
        <v>5</v>
      </c>
      <c r="D382" s="7" t="str">
        <f>IF(B382=C382,"MATCH","MISMATCH")</f>
        <v>MATCH</v>
      </c>
      <c r="E382" s="7">
        <f>IF(F382="None",1,0)</f>
        <v>1</v>
      </c>
      <c r="F382" s="7" t="s">
        <v>17</v>
      </c>
      <c r="G382" s="7">
        <v>0</v>
      </c>
      <c r="H382" s="7">
        <v>0</v>
      </c>
      <c r="I382" s="7">
        <f>IF(AND(E382=0,G382=0),1,0)</f>
        <v>0</v>
      </c>
      <c r="J382" s="7">
        <f>IF(AND(E382=0,H382=0),1,0)</f>
        <v>0</v>
      </c>
      <c r="K382" s="7">
        <f>I382*'05 Methodology'!$B$7</f>
        <v>0</v>
      </c>
      <c r="L382" s="7">
        <f>J382*'05 Methodology'!$B$7</f>
        <v>0</v>
      </c>
      <c r="M382" s="7" t="str">
        <f>IF(G382=1,"FLAG / HOLD","INDEXED")</f>
        <v>INDEXED</v>
      </c>
      <c r="N382" s="1" t="str">
        <f>IF(H382=1,"FLAG / HOLD","INDEXED")</f>
        <v>INDEXED</v>
      </c>
      <c r="O382" s="1" t="s">
        <v>18</v>
      </c>
      <c r="P382" s="1" t="s">
        <v>19</v>
      </c>
      <c r="Q382" s="1"/>
      <c r="R382" s="1"/>
      <c r="S382" s="1"/>
      <c r="T382" s="1"/>
      <c r="U382" s="1"/>
    </row>
    <row r="383" spans="1:21" x14ac:dyDescent="0.2">
      <c r="A383" s="7" t="s">
        <v>403</v>
      </c>
      <c r="B383" s="7">
        <v>6</v>
      </c>
      <c r="C383" s="7">
        <v>6</v>
      </c>
      <c r="D383" s="7" t="str">
        <f>IF(B383=C383,"MATCH","MISMATCH")</f>
        <v>MATCH</v>
      </c>
      <c r="E383" s="7">
        <f>IF(F383="None",1,0)</f>
        <v>1</v>
      </c>
      <c r="F383" s="7" t="s">
        <v>17</v>
      </c>
      <c r="G383" s="7">
        <v>0</v>
      </c>
      <c r="H383" s="7">
        <v>0</v>
      </c>
      <c r="I383" s="7">
        <f>IF(AND(E383=0,G383=0),1,0)</f>
        <v>0</v>
      </c>
      <c r="J383" s="7">
        <f>IF(AND(E383=0,H383=0),1,0)</f>
        <v>0</v>
      </c>
      <c r="K383" s="7">
        <f>I383*'05 Methodology'!$B$7</f>
        <v>0</v>
      </c>
      <c r="L383" s="7">
        <f>J383*'05 Methodology'!$B$7</f>
        <v>0</v>
      </c>
      <c r="M383" s="7" t="str">
        <f>IF(G383=1,"FLAG / HOLD","INDEXED")</f>
        <v>INDEXED</v>
      </c>
      <c r="N383" s="1" t="str">
        <f>IF(H383=1,"FLAG / HOLD","INDEXED")</f>
        <v>INDEXED</v>
      </c>
      <c r="O383" s="1" t="s">
        <v>18</v>
      </c>
      <c r="P383" s="1" t="s">
        <v>19</v>
      </c>
      <c r="Q383" s="1"/>
      <c r="R383" s="1"/>
      <c r="S383" s="1"/>
      <c r="T383" s="1"/>
      <c r="U383" s="1"/>
    </row>
    <row r="384" spans="1:21" x14ac:dyDescent="0.2">
      <c r="A384" s="7" t="s">
        <v>404</v>
      </c>
      <c r="B384" s="7">
        <v>7</v>
      </c>
      <c r="C384" s="7">
        <v>7</v>
      </c>
      <c r="D384" s="7" t="str">
        <f>IF(B384=C384,"MATCH","MISMATCH")</f>
        <v>MATCH</v>
      </c>
      <c r="E384" s="7">
        <f>IF(F384="None",1,0)</f>
        <v>1</v>
      </c>
      <c r="F384" s="7" t="s">
        <v>17</v>
      </c>
      <c r="G384" s="7">
        <v>0</v>
      </c>
      <c r="H384" s="7">
        <v>0</v>
      </c>
      <c r="I384" s="7">
        <f>IF(AND(E384=0,G384=0),1,0)</f>
        <v>0</v>
      </c>
      <c r="J384" s="7">
        <f>IF(AND(E384=0,H384=0),1,0)</f>
        <v>0</v>
      </c>
      <c r="K384" s="7">
        <f>I384*'05 Methodology'!$B$7</f>
        <v>0</v>
      </c>
      <c r="L384" s="7">
        <f>J384*'05 Methodology'!$B$7</f>
        <v>0</v>
      </c>
      <c r="M384" s="7" t="str">
        <f>IF(G384=1,"FLAG / HOLD","INDEXED")</f>
        <v>INDEXED</v>
      </c>
      <c r="N384" s="1" t="str">
        <f>IF(H384=1,"FLAG / HOLD","INDEXED")</f>
        <v>INDEXED</v>
      </c>
      <c r="O384" s="1" t="s">
        <v>18</v>
      </c>
      <c r="P384" s="1" t="s">
        <v>19</v>
      </c>
      <c r="Q384" s="1"/>
      <c r="R384" s="1"/>
      <c r="S384" s="1"/>
      <c r="T384" s="1"/>
      <c r="U384" s="1"/>
    </row>
    <row r="385" spans="1:21" x14ac:dyDescent="0.2">
      <c r="A385" s="7" t="s">
        <v>405</v>
      </c>
      <c r="B385" s="7">
        <v>8</v>
      </c>
      <c r="C385" s="7">
        <v>8</v>
      </c>
      <c r="D385" s="7" t="str">
        <f>IF(B385=C385,"MATCH","MISMATCH")</f>
        <v>MATCH</v>
      </c>
      <c r="E385" s="7">
        <f>IF(F385="None",1,0)</f>
        <v>1</v>
      </c>
      <c r="F385" s="7" t="s">
        <v>17</v>
      </c>
      <c r="G385" s="7">
        <v>0</v>
      </c>
      <c r="H385" s="7">
        <v>0</v>
      </c>
      <c r="I385" s="7">
        <f>IF(AND(E385=0,G385=0),1,0)</f>
        <v>0</v>
      </c>
      <c r="J385" s="7">
        <f>IF(AND(E385=0,H385=0),1,0)</f>
        <v>0</v>
      </c>
      <c r="K385" s="7">
        <f>I385*'05 Methodology'!$B$7</f>
        <v>0</v>
      </c>
      <c r="L385" s="7">
        <f>J385*'05 Methodology'!$B$7</f>
        <v>0</v>
      </c>
      <c r="M385" s="7" t="str">
        <f>IF(G385=1,"FLAG / HOLD","INDEXED")</f>
        <v>INDEXED</v>
      </c>
      <c r="N385" s="1" t="str">
        <f>IF(H385=1,"FLAG / HOLD","INDEXED")</f>
        <v>INDEXED</v>
      </c>
      <c r="O385" s="1" t="s">
        <v>18</v>
      </c>
      <c r="P385" s="1" t="s">
        <v>19</v>
      </c>
      <c r="Q385" s="1"/>
      <c r="R385" s="1"/>
      <c r="S385" s="1"/>
      <c r="T385" s="1"/>
      <c r="U385" s="1"/>
    </row>
    <row r="386" spans="1:21" x14ac:dyDescent="0.2">
      <c r="A386" s="7" t="s">
        <v>406</v>
      </c>
      <c r="B386" s="7">
        <v>6</v>
      </c>
      <c r="C386" s="7">
        <v>6</v>
      </c>
      <c r="D386" s="7" t="str">
        <f>IF(B386=C386,"MATCH","MISMATCH")</f>
        <v>MATCH</v>
      </c>
      <c r="E386" s="7">
        <f>IF(F386="None",1,0)</f>
        <v>1</v>
      </c>
      <c r="F386" s="7" t="s">
        <v>17</v>
      </c>
      <c r="G386" s="7">
        <v>0</v>
      </c>
      <c r="H386" s="7">
        <v>0</v>
      </c>
      <c r="I386" s="7">
        <f>IF(AND(E386=0,G386=0),1,0)</f>
        <v>0</v>
      </c>
      <c r="J386" s="7">
        <f>IF(AND(E386=0,H386=0),1,0)</f>
        <v>0</v>
      </c>
      <c r="K386" s="7">
        <f>I386*'05 Methodology'!$B$7</f>
        <v>0</v>
      </c>
      <c r="L386" s="7">
        <f>J386*'05 Methodology'!$B$7</f>
        <v>0</v>
      </c>
      <c r="M386" s="7" t="str">
        <f>IF(G386=1,"FLAG / HOLD","INDEXED")</f>
        <v>INDEXED</v>
      </c>
      <c r="N386" s="1" t="str">
        <f>IF(H386=1,"FLAG / HOLD","INDEXED")</f>
        <v>INDEXED</v>
      </c>
      <c r="O386" s="1" t="s">
        <v>18</v>
      </c>
      <c r="P386" s="1" t="s">
        <v>19</v>
      </c>
      <c r="Q386" s="1"/>
      <c r="R386" s="1"/>
      <c r="S386" s="1"/>
      <c r="T386" s="1"/>
      <c r="U386" s="1"/>
    </row>
    <row r="387" spans="1:21" x14ac:dyDescent="0.2">
      <c r="A387" s="7" t="s">
        <v>407</v>
      </c>
      <c r="B387" s="7">
        <v>5</v>
      </c>
      <c r="C387" s="7">
        <v>5</v>
      </c>
      <c r="D387" s="7" t="str">
        <f>IF(B387=C387,"MATCH","MISMATCH")</f>
        <v>MATCH</v>
      </c>
      <c r="E387" s="7">
        <f>IF(F387="None",1,0)</f>
        <v>1</v>
      </c>
      <c r="F387" s="7" t="s">
        <v>17</v>
      </c>
      <c r="G387" s="7">
        <v>0</v>
      </c>
      <c r="H387" s="7">
        <v>0</v>
      </c>
      <c r="I387" s="7">
        <f>IF(AND(E387=0,G387=0),1,0)</f>
        <v>0</v>
      </c>
      <c r="J387" s="7">
        <f>IF(AND(E387=0,H387=0),1,0)</f>
        <v>0</v>
      </c>
      <c r="K387" s="7">
        <f>I387*'05 Methodology'!$B$7</f>
        <v>0</v>
      </c>
      <c r="L387" s="7">
        <f>J387*'05 Methodology'!$B$7</f>
        <v>0</v>
      </c>
      <c r="M387" s="7" t="str">
        <f>IF(G387=1,"FLAG / HOLD","INDEXED")</f>
        <v>INDEXED</v>
      </c>
      <c r="N387" s="1" t="str">
        <f>IF(H387=1,"FLAG / HOLD","INDEXED")</f>
        <v>INDEXED</v>
      </c>
      <c r="O387" s="1" t="s">
        <v>18</v>
      </c>
      <c r="P387" s="1" t="s">
        <v>19</v>
      </c>
      <c r="Q387" s="1"/>
      <c r="R387" s="1"/>
      <c r="S387" s="1"/>
      <c r="T387" s="1"/>
      <c r="U387" s="1"/>
    </row>
    <row r="388" spans="1:21" x14ac:dyDescent="0.2">
      <c r="A388" s="7" t="s">
        <v>408</v>
      </c>
      <c r="B388" s="7">
        <v>6</v>
      </c>
      <c r="C388" s="7">
        <v>6</v>
      </c>
      <c r="D388" s="7" t="str">
        <f>IF(B388=C388,"MATCH","MISMATCH")</f>
        <v>MATCH</v>
      </c>
      <c r="E388" s="7">
        <f>IF(F388="None",1,0)</f>
        <v>1</v>
      </c>
      <c r="F388" s="7" t="s">
        <v>17</v>
      </c>
      <c r="G388" s="7">
        <v>0</v>
      </c>
      <c r="H388" s="7">
        <v>0</v>
      </c>
      <c r="I388" s="7">
        <f>IF(AND(E388=0,G388=0),1,0)</f>
        <v>0</v>
      </c>
      <c r="J388" s="7">
        <f>IF(AND(E388=0,H388=0),1,0)</f>
        <v>0</v>
      </c>
      <c r="K388" s="7">
        <f>I388*'05 Methodology'!$B$7</f>
        <v>0</v>
      </c>
      <c r="L388" s="7">
        <f>J388*'05 Methodology'!$B$7</f>
        <v>0</v>
      </c>
      <c r="M388" s="7" t="str">
        <f>IF(G388=1,"FLAG / HOLD","INDEXED")</f>
        <v>INDEXED</v>
      </c>
      <c r="N388" s="1" t="str">
        <f>IF(H388=1,"FLAG / HOLD","INDEXED")</f>
        <v>INDEXED</v>
      </c>
      <c r="O388" s="1" t="s">
        <v>18</v>
      </c>
      <c r="P388" s="1" t="s">
        <v>19</v>
      </c>
      <c r="Q388" s="1"/>
      <c r="R388" s="1"/>
      <c r="S388" s="1"/>
      <c r="T388" s="1"/>
      <c r="U388" s="1"/>
    </row>
    <row r="389" spans="1:21" x14ac:dyDescent="0.2">
      <c r="A389" s="7" t="s">
        <v>409</v>
      </c>
      <c r="B389" s="7">
        <v>7</v>
      </c>
      <c r="C389" s="7">
        <v>7</v>
      </c>
      <c r="D389" s="7" t="str">
        <f>IF(B389=C389,"MATCH","MISMATCH")</f>
        <v>MATCH</v>
      </c>
      <c r="E389" s="7">
        <f>IF(F389="None",1,0)</f>
        <v>1</v>
      </c>
      <c r="F389" s="7" t="s">
        <v>17</v>
      </c>
      <c r="G389" s="7">
        <v>0</v>
      </c>
      <c r="H389" s="7">
        <v>0</v>
      </c>
      <c r="I389" s="7">
        <f>IF(AND(E389=0,G389=0),1,0)</f>
        <v>0</v>
      </c>
      <c r="J389" s="7">
        <f>IF(AND(E389=0,H389=0),1,0)</f>
        <v>0</v>
      </c>
      <c r="K389" s="7">
        <f>I389*'05 Methodology'!$B$7</f>
        <v>0</v>
      </c>
      <c r="L389" s="7">
        <f>J389*'05 Methodology'!$B$7</f>
        <v>0</v>
      </c>
      <c r="M389" s="7" t="str">
        <f>IF(G389=1,"FLAG / HOLD","INDEXED")</f>
        <v>INDEXED</v>
      </c>
      <c r="N389" s="1" t="str">
        <f>IF(H389=1,"FLAG / HOLD","INDEXED")</f>
        <v>INDEXED</v>
      </c>
      <c r="O389" s="1" t="s">
        <v>18</v>
      </c>
      <c r="P389" s="1" t="s">
        <v>19</v>
      </c>
      <c r="Q389" s="1"/>
      <c r="R389" s="1"/>
      <c r="S389" s="1"/>
      <c r="T389" s="1"/>
      <c r="U389" s="1"/>
    </row>
    <row r="390" spans="1:21" x14ac:dyDescent="0.2">
      <c r="A390" s="7" t="s">
        <v>410</v>
      </c>
      <c r="B390" s="7">
        <v>8</v>
      </c>
      <c r="C390" s="7">
        <v>8</v>
      </c>
      <c r="D390" s="7" t="str">
        <f>IF(B390=C390,"MATCH","MISMATCH")</f>
        <v>MATCH</v>
      </c>
      <c r="E390" s="7">
        <f>IF(F390="None",1,0)</f>
        <v>1</v>
      </c>
      <c r="F390" s="7" t="s">
        <v>17</v>
      </c>
      <c r="G390" s="7">
        <v>0</v>
      </c>
      <c r="H390" s="7">
        <v>0</v>
      </c>
      <c r="I390" s="7">
        <f>IF(AND(E390=0,G390=0),1,0)</f>
        <v>0</v>
      </c>
      <c r="J390" s="7">
        <f>IF(AND(E390=0,H390=0),1,0)</f>
        <v>0</v>
      </c>
      <c r="K390" s="7">
        <f>I390*'05 Methodology'!$B$7</f>
        <v>0</v>
      </c>
      <c r="L390" s="7">
        <f>J390*'05 Methodology'!$B$7</f>
        <v>0</v>
      </c>
      <c r="M390" s="7" t="str">
        <f>IF(G390=1,"FLAG / HOLD","INDEXED")</f>
        <v>INDEXED</v>
      </c>
      <c r="N390" s="1" t="str">
        <f>IF(H390=1,"FLAG / HOLD","INDEXED")</f>
        <v>INDEXED</v>
      </c>
      <c r="O390" s="1" t="s">
        <v>18</v>
      </c>
      <c r="P390" s="1" t="s">
        <v>19</v>
      </c>
      <c r="Q390" s="1"/>
      <c r="R390" s="1"/>
      <c r="S390" s="1"/>
      <c r="T390" s="1"/>
      <c r="U390" s="1"/>
    </row>
    <row r="391" spans="1:21" x14ac:dyDescent="0.2">
      <c r="A391" s="7" t="s">
        <v>411</v>
      </c>
      <c r="B391" s="7">
        <v>4</v>
      </c>
      <c r="C391" s="7">
        <v>4</v>
      </c>
      <c r="D391" s="7" t="str">
        <f>IF(B391=C391,"MATCH","MISMATCH")</f>
        <v>MATCH</v>
      </c>
      <c r="E391" s="7">
        <f>IF(F391="None",1,0)</f>
        <v>1</v>
      </c>
      <c r="F391" s="7" t="s">
        <v>17</v>
      </c>
      <c r="G391" s="7">
        <v>0</v>
      </c>
      <c r="H391" s="7">
        <v>0</v>
      </c>
      <c r="I391" s="7">
        <f>IF(AND(E391=0,G391=0),1,0)</f>
        <v>0</v>
      </c>
      <c r="J391" s="7">
        <f>IF(AND(E391=0,H391=0),1,0)</f>
        <v>0</v>
      </c>
      <c r="K391" s="7">
        <f>I391*'05 Methodology'!$B$7</f>
        <v>0</v>
      </c>
      <c r="L391" s="7">
        <f>J391*'05 Methodology'!$B$7</f>
        <v>0</v>
      </c>
      <c r="M391" s="7" t="str">
        <f>IF(G391=1,"FLAG / HOLD","INDEXED")</f>
        <v>INDEXED</v>
      </c>
      <c r="N391" s="1" t="str">
        <f>IF(H391=1,"FLAG / HOLD","INDEXED")</f>
        <v>INDEXED</v>
      </c>
      <c r="O391" s="1" t="s">
        <v>18</v>
      </c>
      <c r="P391" s="1" t="s">
        <v>19</v>
      </c>
      <c r="Q391" s="1"/>
      <c r="R391" s="1"/>
      <c r="S391" s="1"/>
      <c r="T391" s="1"/>
      <c r="U391" s="1"/>
    </row>
    <row r="392" spans="1:21" x14ac:dyDescent="0.2">
      <c r="A392" s="7" t="s">
        <v>412</v>
      </c>
      <c r="B392" s="7">
        <v>5</v>
      </c>
      <c r="C392" s="7">
        <v>4</v>
      </c>
      <c r="D392" s="7" t="str">
        <f>IF(B392=C392,"MATCH","MISMATCH")</f>
        <v>MISMATCH</v>
      </c>
      <c r="E392" s="7">
        <f>IF(F392="None",1,0)</f>
        <v>0</v>
      </c>
      <c r="F392" s="7" t="s">
        <v>38</v>
      </c>
      <c r="G392" s="7">
        <v>1</v>
      </c>
      <c r="H392" s="7">
        <v>1</v>
      </c>
      <c r="I392" s="7">
        <f>IF(AND(E392=0,G392=0),1,0)</f>
        <v>0</v>
      </c>
      <c r="J392" s="7">
        <f>IF(AND(E392=0,H392=0),1,0)</f>
        <v>0</v>
      </c>
      <c r="K392" s="7">
        <f>I392*'05 Methodology'!$B$7</f>
        <v>0</v>
      </c>
      <c r="L392" s="7">
        <f>J392*'05 Methodology'!$B$7</f>
        <v>0</v>
      </c>
      <c r="M392" s="7" t="str">
        <f>IF(G392=1,"FLAG / HOLD","INDEXED")</f>
        <v>FLAG / HOLD</v>
      </c>
      <c r="N392" s="1" t="str">
        <f>IF(H392=1,"FLAG / HOLD","INDEXED")</f>
        <v>FLAG / HOLD</v>
      </c>
      <c r="O392" s="1" t="s">
        <v>18</v>
      </c>
      <c r="P392" s="1" t="s">
        <v>19</v>
      </c>
      <c r="Q392" s="1"/>
      <c r="R392" s="1"/>
      <c r="S392" s="1"/>
      <c r="T392" s="1"/>
      <c r="U392" s="1"/>
    </row>
    <row r="393" spans="1:21" x14ac:dyDescent="0.2">
      <c r="A393" s="7" t="s">
        <v>413</v>
      </c>
      <c r="B393" s="7">
        <v>6</v>
      </c>
      <c r="C393" s="7">
        <v>6</v>
      </c>
      <c r="D393" s="7" t="str">
        <f>IF(B393=C393,"MATCH","MISMATCH")</f>
        <v>MATCH</v>
      </c>
      <c r="E393" s="7">
        <f>IF(F393="None",1,0)</f>
        <v>1</v>
      </c>
      <c r="F393" s="7" t="s">
        <v>17</v>
      </c>
      <c r="G393" s="7">
        <v>0</v>
      </c>
      <c r="H393" s="7">
        <v>0</v>
      </c>
      <c r="I393" s="7">
        <f>IF(AND(E393=0,G393=0),1,0)</f>
        <v>0</v>
      </c>
      <c r="J393" s="7">
        <f>IF(AND(E393=0,H393=0),1,0)</f>
        <v>0</v>
      </c>
      <c r="K393" s="7">
        <f>I393*'05 Methodology'!$B$7</f>
        <v>0</v>
      </c>
      <c r="L393" s="7">
        <f>J393*'05 Methodology'!$B$7</f>
        <v>0</v>
      </c>
      <c r="M393" s="7" t="str">
        <f>IF(G393=1,"FLAG / HOLD","INDEXED")</f>
        <v>INDEXED</v>
      </c>
      <c r="N393" s="1" t="str">
        <f>IF(H393=1,"FLAG / HOLD","INDEXED")</f>
        <v>INDEXED</v>
      </c>
      <c r="O393" s="1" t="s">
        <v>18</v>
      </c>
      <c r="P393" s="1" t="s">
        <v>19</v>
      </c>
      <c r="Q393" s="1"/>
      <c r="R393" s="1"/>
      <c r="S393" s="1"/>
      <c r="T393" s="1"/>
      <c r="U393" s="1"/>
    </row>
    <row r="394" spans="1:21" x14ac:dyDescent="0.2">
      <c r="A394" s="7" t="s">
        <v>414</v>
      </c>
      <c r="B394" s="7">
        <v>7</v>
      </c>
      <c r="C394" s="7">
        <v>7</v>
      </c>
      <c r="D394" s="7" t="str">
        <f>IF(B394=C394,"MATCH","MISMATCH")</f>
        <v>MATCH</v>
      </c>
      <c r="E394" s="7">
        <f>IF(F394="None",1,0)</f>
        <v>1</v>
      </c>
      <c r="F394" s="7" t="s">
        <v>17</v>
      </c>
      <c r="G394" s="7">
        <v>0</v>
      </c>
      <c r="H394" s="7">
        <v>0</v>
      </c>
      <c r="I394" s="7">
        <f>IF(AND(E394=0,G394=0),1,0)</f>
        <v>0</v>
      </c>
      <c r="J394" s="7">
        <f>IF(AND(E394=0,H394=0),1,0)</f>
        <v>0</v>
      </c>
      <c r="K394" s="7">
        <f>I394*'05 Methodology'!$B$7</f>
        <v>0</v>
      </c>
      <c r="L394" s="7">
        <f>J394*'05 Methodology'!$B$7</f>
        <v>0</v>
      </c>
      <c r="M394" s="7" t="str">
        <f>IF(G394=1,"FLAG / HOLD","INDEXED")</f>
        <v>INDEXED</v>
      </c>
      <c r="N394" s="1" t="str">
        <f>IF(H394=1,"FLAG / HOLD","INDEXED")</f>
        <v>INDEXED</v>
      </c>
      <c r="O394" s="1" t="s">
        <v>18</v>
      </c>
      <c r="P394" s="1" t="s">
        <v>19</v>
      </c>
      <c r="Q394" s="1"/>
      <c r="R394" s="1"/>
      <c r="S394" s="1"/>
      <c r="T394" s="1"/>
      <c r="U394" s="1"/>
    </row>
    <row r="395" spans="1:21" x14ac:dyDescent="0.2">
      <c r="A395" s="7" t="s">
        <v>415</v>
      </c>
      <c r="B395" s="7">
        <v>8</v>
      </c>
      <c r="C395" s="7">
        <v>8</v>
      </c>
      <c r="D395" s="7" t="str">
        <f>IF(B395=C395,"MATCH","MISMATCH")</f>
        <v>MATCH</v>
      </c>
      <c r="E395" s="7">
        <f>IF(F395="None",1,0)</f>
        <v>1</v>
      </c>
      <c r="F395" s="7" t="s">
        <v>17</v>
      </c>
      <c r="G395" s="7">
        <v>0</v>
      </c>
      <c r="H395" s="7">
        <v>0</v>
      </c>
      <c r="I395" s="7">
        <f>IF(AND(E395=0,G395=0),1,0)</f>
        <v>0</v>
      </c>
      <c r="J395" s="7">
        <f>IF(AND(E395=0,H395=0),1,0)</f>
        <v>0</v>
      </c>
      <c r="K395" s="7">
        <f>I395*'05 Methodology'!$B$7</f>
        <v>0</v>
      </c>
      <c r="L395" s="7">
        <f>J395*'05 Methodology'!$B$7</f>
        <v>0</v>
      </c>
      <c r="M395" s="7" t="str">
        <f>IF(G395=1,"FLAG / HOLD","INDEXED")</f>
        <v>INDEXED</v>
      </c>
      <c r="N395" s="1" t="str">
        <f>IF(H395=1,"FLAG / HOLD","INDEXED")</f>
        <v>INDEXED</v>
      </c>
      <c r="O395" s="1" t="s">
        <v>18</v>
      </c>
      <c r="P395" s="1" t="s">
        <v>19</v>
      </c>
      <c r="Q395" s="1"/>
      <c r="R395" s="1"/>
      <c r="S395" s="1"/>
      <c r="T395" s="1"/>
      <c r="U395" s="1"/>
    </row>
    <row r="396" spans="1:21" x14ac:dyDescent="0.2">
      <c r="A396" s="7" t="s">
        <v>416</v>
      </c>
      <c r="B396" s="7">
        <v>4</v>
      </c>
      <c r="C396" s="7">
        <v>4</v>
      </c>
      <c r="D396" s="7" t="str">
        <f>IF(B396=C396,"MATCH","MISMATCH")</f>
        <v>MATCH</v>
      </c>
      <c r="E396" s="7">
        <f>IF(F396="None",1,0)</f>
        <v>1</v>
      </c>
      <c r="F396" s="7" t="s">
        <v>17</v>
      </c>
      <c r="G396" s="7">
        <v>0</v>
      </c>
      <c r="H396" s="7">
        <v>0</v>
      </c>
      <c r="I396" s="7">
        <f>IF(AND(E396=0,G396=0),1,0)</f>
        <v>0</v>
      </c>
      <c r="J396" s="7">
        <f>IF(AND(E396=0,H396=0),1,0)</f>
        <v>0</v>
      </c>
      <c r="K396" s="7">
        <f>I396*'05 Methodology'!$B$7</f>
        <v>0</v>
      </c>
      <c r="L396" s="7">
        <f>J396*'05 Methodology'!$B$7</f>
        <v>0</v>
      </c>
      <c r="M396" s="7" t="str">
        <f>IF(G396=1,"FLAG / HOLD","INDEXED")</f>
        <v>INDEXED</v>
      </c>
      <c r="N396" s="1" t="str">
        <f>IF(H396=1,"FLAG / HOLD","INDEXED")</f>
        <v>INDEXED</v>
      </c>
      <c r="O396" s="1" t="s">
        <v>18</v>
      </c>
      <c r="P396" s="1" t="s">
        <v>19</v>
      </c>
      <c r="Q396" s="1"/>
      <c r="R396" s="1"/>
      <c r="S396" s="1"/>
      <c r="T396" s="1"/>
      <c r="U396" s="1"/>
    </row>
    <row r="397" spans="1:21" x14ac:dyDescent="0.2">
      <c r="A397" s="7" t="s">
        <v>417</v>
      </c>
      <c r="B397" s="7">
        <v>5</v>
      </c>
      <c r="C397" s="7">
        <v>5</v>
      </c>
      <c r="D397" s="7" t="str">
        <f>IF(B397=C397,"MATCH","MISMATCH")</f>
        <v>MATCH</v>
      </c>
      <c r="E397" s="7">
        <f>IF(F397="None",1,0)</f>
        <v>1</v>
      </c>
      <c r="F397" s="7" t="s">
        <v>17</v>
      </c>
      <c r="G397" s="7">
        <v>0</v>
      </c>
      <c r="H397" s="7">
        <v>0</v>
      </c>
      <c r="I397" s="7">
        <f>IF(AND(E397=0,G397=0),1,0)</f>
        <v>0</v>
      </c>
      <c r="J397" s="7">
        <f>IF(AND(E397=0,H397=0),1,0)</f>
        <v>0</v>
      </c>
      <c r="K397" s="7">
        <f>I397*'05 Methodology'!$B$7</f>
        <v>0</v>
      </c>
      <c r="L397" s="7">
        <f>J397*'05 Methodology'!$B$7</f>
        <v>0</v>
      </c>
      <c r="M397" s="7" t="str">
        <f>IF(G397=1,"FLAG / HOLD","INDEXED")</f>
        <v>INDEXED</v>
      </c>
      <c r="N397" s="1" t="str">
        <f>IF(H397=1,"FLAG / HOLD","INDEXED")</f>
        <v>INDEXED</v>
      </c>
      <c r="O397" s="1" t="s">
        <v>18</v>
      </c>
      <c r="P397" s="1" t="s">
        <v>19</v>
      </c>
      <c r="Q397" s="1"/>
      <c r="R397" s="1"/>
      <c r="S397" s="1"/>
      <c r="T397" s="1"/>
      <c r="U397" s="1"/>
    </row>
    <row r="398" spans="1:21" x14ac:dyDescent="0.2">
      <c r="A398" s="7" t="s">
        <v>418</v>
      </c>
      <c r="B398" s="7">
        <v>6</v>
      </c>
      <c r="C398" s="7">
        <v>6</v>
      </c>
      <c r="D398" s="7" t="str">
        <f>IF(B398=C398,"MATCH","MISMATCH")</f>
        <v>MATCH</v>
      </c>
      <c r="E398" s="7">
        <f>IF(F398="None",1,0)</f>
        <v>1</v>
      </c>
      <c r="F398" s="7" t="s">
        <v>17</v>
      </c>
      <c r="G398" s="7">
        <v>0</v>
      </c>
      <c r="H398" s="7">
        <v>0</v>
      </c>
      <c r="I398" s="7">
        <f>IF(AND(E398=0,G398=0),1,0)</f>
        <v>0</v>
      </c>
      <c r="J398" s="7">
        <f>IF(AND(E398=0,H398=0),1,0)</f>
        <v>0</v>
      </c>
      <c r="K398" s="7">
        <f>I398*'05 Methodology'!$B$7</f>
        <v>0</v>
      </c>
      <c r="L398" s="7">
        <f>J398*'05 Methodology'!$B$7</f>
        <v>0</v>
      </c>
      <c r="M398" s="7" t="str">
        <f>IF(G398=1,"FLAG / HOLD","INDEXED")</f>
        <v>INDEXED</v>
      </c>
      <c r="N398" s="1" t="str">
        <f>IF(H398=1,"FLAG / HOLD","INDEXED")</f>
        <v>INDEXED</v>
      </c>
      <c r="O398" s="1" t="s">
        <v>18</v>
      </c>
      <c r="P398" s="1" t="s">
        <v>19</v>
      </c>
      <c r="Q398" s="1"/>
      <c r="R398" s="1"/>
      <c r="S398" s="1"/>
      <c r="T398" s="1"/>
      <c r="U398" s="1"/>
    </row>
    <row r="399" spans="1:21" x14ac:dyDescent="0.2">
      <c r="A399" s="7" t="s">
        <v>419</v>
      </c>
      <c r="B399" s="7">
        <v>7</v>
      </c>
      <c r="C399" s="7">
        <v>7</v>
      </c>
      <c r="D399" s="7" t="str">
        <f>IF(B399=C399,"MATCH","MISMATCH")</f>
        <v>MATCH</v>
      </c>
      <c r="E399" s="7">
        <f>IF(F399="None",1,0)</f>
        <v>1</v>
      </c>
      <c r="F399" s="7" t="s">
        <v>17</v>
      </c>
      <c r="G399" s="7">
        <v>0</v>
      </c>
      <c r="H399" s="7">
        <v>0</v>
      </c>
      <c r="I399" s="7">
        <f>IF(AND(E399=0,G399=0),1,0)</f>
        <v>0</v>
      </c>
      <c r="J399" s="7">
        <f>IF(AND(E399=0,H399=0),1,0)</f>
        <v>0</v>
      </c>
      <c r="K399" s="7">
        <f>I399*'05 Methodology'!$B$7</f>
        <v>0</v>
      </c>
      <c r="L399" s="7">
        <f>J399*'05 Methodology'!$B$7</f>
        <v>0</v>
      </c>
      <c r="M399" s="7" t="str">
        <f>IF(G399=1,"FLAG / HOLD","INDEXED")</f>
        <v>INDEXED</v>
      </c>
      <c r="N399" s="1" t="str">
        <f>IF(H399=1,"FLAG / HOLD","INDEXED")</f>
        <v>INDEXED</v>
      </c>
      <c r="O399" s="1" t="s">
        <v>18</v>
      </c>
      <c r="P399" s="1" t="s">
        <v>19</v>
      </c>
      <c r="Q399" s="1"/>
      <c r="R399" s="1"/>
      <c r="S399" s="1"/>
      <c r="T399" s="1"/>
      <c r="U399" s="1"/>
    </row>
    <row r="400" spans="1:21" x14ac:dyDescent="0.2">
      <c r="A400" s="7" t="s">
        <v>420</v>
      </c>
      <c r="B400" s="7">
        <v>6</v>
      </c>
      <c r="C400" s="7">
        <v>6</v>
      </c>
      <c r="D400" s="7" t="str">
        <f>IF(B400=C400,"MATCH","MISMATCH")</f>
        <v>MATCH</v>
      </c>
      <c r="E400" s="7">
        <f>IF(F400="None",1,0)</f>
        <v>1</v>
      </c>
      <c r="F400" s="7" t="s">
        <v>17</v>
      </c>
      <c r="G400" s="7">
        <v>0</v>
      </c>
      <c r="H400" s="7">
        <v>0</v>
      </c>
      <c r="I400" s="7">
        <f>IF(AND(E400=0,G400=0),1,0)</f>
        <v>0</v>
      </c>
      <c r="J400" s="7">
        <f>IF(AND(E400=0,H400=0),1,0)</f>
        <v>0</v>
      </c>
      <c r="K400" s="7">
        <f>I400*'05 Methodology'!$B$7</f>
        <v>0</v>
      </c>
      <c r="L400" s="7">
        <f>J400*'05 Methodology'!$B$7</f>
        <v>0</v>
      </c>
      <c r="M400" s="7" t="str">
        <f>IF(G400=1,"FLAG / HOLD","INDEXED")</f>
        <v>INDEXED</v>
      </c>
      <c r="N400" s="1" t="str">
        <f>IF(H400=1,"FLAG / HOLD","INDEXED")</f>
        <v>INDEXED</v>
      </c>
      <c r="O400" s="1" t="s">
        <v>18</v>
      </c>
      <c r="P400" s="1" t="s">
        <v>19</v>
      </c>
      <c r="Q400" s="1"/>
      <c r="R400" s="1"/>
      <c r="S400" s="1"/>
      <c r="T400" s="1"/>
      <c r="U400" s="1"/>
    </row>
    <row r="401" spans="1:21" x14ac:dyDescent="0.2">
      <c r="A401" s="7" t="s">
        <v>421</v>
      </c>
      <c r="B401" s="7">
        <v>4</v>
      </c>
      <c r="C401" s="7">
        <v>4</v>
      </c>
      <c r="D401" s="7" t="str">
        <f>IF(B401=C401,"MATCH","MISMATCH")</f>
        <v>MATCH</v>
      </c>
      <c r="E401" s="7">
        <f>IF(F401="None",1,0)</f>
        <v>0</v>
      </c>
      <c r="F401" s="7" t="s">
        <v>24</v>
      </c>
      <c r="G401" s="7">
        <v>0</v>
      </c>
      <c r="H401" s="7">
        <v>1</v>
      </c>
      <c r="I401" s="7">
        <f>IF(AND(E401=0,G401=0),1,0)</f>
        <v>1</v>
      </c>
      <c r="J401" s="7">
        <f>IF(AND(E401=0,H401=0),1,0)</f>
        <v>0</v>
      </c>
      <c r="K401" s="7">
        <f>I401*'05 Methodology'!$B$7</f>
        <v>20</v>
      </c>
      <c r="L401" s="7">
        <f>J401*'05 Methodology'!$B$7</f>
        <v>0</v>
      </c>
      <c r="M401" s="7" t="str">
        <f>IF(G401=1,"FLAG / HOLD","INDEXED")</f>
        <v>INDEXED</v>
      </c>
      <c r="N401" s="1" t="str">
        <f>IF(H401=1,"FLAG / HOLD","INDEXED")</f>
        <v>FLAG / HOLD</v>
      </c>
      <c r="O401" s="1" t="s">
        <v>18</v>
      </c>
      <c r="P401" s="1" t="s">
        <v>25</v>
      </c>
      <c r="Q401" s="1"/>
      <c r="R401" s="1"/>
      <c r="S401" s="1"/>
      <c r="T401" s="1"/>
      <c r="U401" s="1"/>
    </row>
    <row r="402" spans="1:21" x14ac:dyDescent="0.2">
      <c r="A402" s="7" t="s">
        <v>422</v>
      </c>
      <c r="B402" s="7">
        <v>5</v>
      </c>
      <c r="C402" s="7">
        <v>5</v>
      </c>
      <c r="D402" s="7" t="str">
        <f>IF(B402=C402,"MATCH","MISMATCH")</f>
        <v>MATCH</v>
      </c>
      <c r="E402" s="7">
        <f>IF(F402="None",1,0)</f>
        <v>1</v>
      </c>
      <c r="F402" s="7" t="s">
        <v>17</v>
      </c>
      <c r="G402" s="7">
        <v>0</v>
      </c>
      <c r="H402" s="7">
        <v>0</v>
      </c>
      <c r="I402" s="7">
        <f>IF(AND(E402=0,G402=0),1,0)</f>
        <v>0</v>
      </c>
      <c r="J402" s="7">
        <f>IF(AND(E402=0,H402=0),1,0)</f>
        <v>0</v>
      </c>
      <c r="K402" s="7">
        <f>I402*'05 Methodology'!$B$7</f>
        <v>0</v>
      </c>
      <c r="L402" s="7">
        <f>J402*'05 Methodology'!$B$7</f>
        <v>0</v>
      </c>
      <c r="M402" s="7" t="str">
        <f>IF(G402=1,"FLAG / HOLD","INDEXED")</f>
        <v>INDEXED</v>
      </c>
      <c r="N402" s="1" t="str">
        <f>IF(H402=1,"FLAG / HOLD","INDEXED")</f>
        <v>INDEXED</v>
      </c>
      <c r="O402" s="1" t="s">
        <v>18</v>
      </c>
      <c r="P402" s="1" t="s">
        <v>19</v>
      </c>
      <c r="Q402" s="1"/>
      <c r="R402" s="1"/>
      <c r="S402" s="1"/>
      <c r="T402" s="1"/>
      <c r="U402" s="1"/>
    </row>
    <row r="403" spans="1:21" x14ac:dyDescent="0.2">
      <c r="A403" s="7" t="s">
        <v>423</v>
      </c>
      <c r="B403" s="7">
        <v>6</v>
      </c>
      <c r="C403" s="7">
        <v>5</v>
      </c>
      <c r="D403" s="7" t="str">
        <f>IF(B403=C403,"MATCH","MISMATCH")</f>
        <v>MISMATCH</v>
      </c>
      <c r="E403" s="7">
        <f>IF(F403="None",1,0)</f>
        <v>0</v>
      </c>
      <c r="F403" s="7" t="s">
        <v>38</v>
      </c>
      <c r="G403" s="7">
        <v>1</v>
      </c>
      <c r="H403" s="7">
        <v>1</v>
      </c>
      <c r="I403" s="7">
        <f>IF(AND(E403=0,G403=0),1,0)</f>
        <v>0</v>
      </c>
      <c r="J403" s="7">
        <f>IF(AND(E403=0,H403=0),1,0)</f>
        <v>0</v>
      </c>
      <c r="K403" s="7">
        <f>I403*'05 Methodology'!$B$7</f>
        <v>0</v>
      </c>
      <c r="L403" s="7">
        <f>J403*'05 Methodology'!$B$7</f>
        <v>0</v>
      </c>
      <c r="M403" s="7" t="str">
        <f>IF(G403=1,"FLAG / HOLD","INDEXED")</f>
        <v>FLAG / HOLD</v>
      </c>
      <c r="N403" s="1" t="str">
        <f>IF(H403=1,"FLAG / HOLD","INDEXED")</f>
        <v>FLAG / HOLD</v>
      </c>
      <c r="O403" s="1" t="s">
        <v>18</v>
      </c>
      <c r="P403" s="1" t="s">
        <v>19</v>
      </c>
      <c r="Q403" s="1"/>
      <c r="R403" s="1"/>
      <c r="S403" s="1"/>
      <c r="T403" s="1"/>
      <c r="U403" s="1"/>
    </row>
    <row r="404" spans="1:21" x14ac:dyDescent="0.2">
      <c r="A404" s="7" t="s">
        <v>424</v>
      </c>
      <c r="B404" s="7">
        <v>7</v>
      </c>
      <c r="C404" s="7">
        <v>7</v>
      </c>
      <c r="D404" s="7" t="str">
        <f>IF(B404=C404,"MATCH","MISMATCH")</f>
        <v>MATCH</v>
      </c>
      <c r="E404" s="7">
        <f>IF(F404="None",1,0)</f>
        <v>1</v>
      </c>
      <c r="F404" s="7" t="s">
        <v>17</v>
      </c>
      <c r="G404" s="7">
        <v>0</v>
      </c>
      <c r="H404" s="7">
        <v>0</v>
      </c>
      <c r="I404" s="7">
        <f>IF(AND(E404=0,G404=0),1,0)</f>
        <v>0</v>
      </c>
      <c r="J404" s="7">
        <f>IF(AND(E404=0,H404=0),1,0)</f>
        <v>0</v>
      </c>
      <c r="K404" s="7">
        <f>I404*'05 Methodology'!$B$7</f>
        <v>0</v>
      </c>
      <c r="L404" s="7">
        <f>J404*'05 Methodology'!$B$7</f>
        <v>0</v>
      </c>
      <c r="M404" s="7" t="str">
        <f>IF(G404=1,"FLAG / HOLD","INDEXED")</f>
        <v>INDEXED</v>
      </c>
      <c r="N404" s="1" t="str">
        <f>IF(H404=1,"FLAG / HOLD","INDEXED")</f>
        <v>INDEXED</v>
      </c>
      <c r="O404" s="1" t="s">
        <v>18</v>
      </c>
      <c r="P404" s="1" t="s">
        <v>19</v>
      </c>
      <c r="Q404" s="1"/>
      <c r="R404" s="1"/>
      <c r="S404" s="1"/>
      <c r="T404" s="1"/>
      <c r="U404" s="1"/>
    </row>
    <row r="405" spans="1:21" x14ac:dyDescent="0.2">
      <c r="A405" s="7" t="s">
        <v>425</v>
      </c>
      <c r="B405" s="7">
        <v>8</v>
      </c>
      <c r="C405" s="7">
        <v>8</v>
      </c>
      <c r="D405" s="7" t="str">
        <f>IF(B405=C405,"MATCH","MISMATCH")</f>
        <v>MATCH</v>
      </c>
      <c r="E405" s="7">
        <f>IF(F405="None",1,0)</f>
        <v>1</v>
      </c>
      <c r="F405" s="7" t="s">
        <v>17</v>
      </c>
      <c r="G405" s="7">
        <v>0</v>
      </c>
      <c r="H405" s="7">
        <v>0</v>
      </c>
      <c r="I405" s="7">
        <f>IF(AND(E405=0,G405=0),1,0)</f>
        <v>0</v>
      </c>
      <c r="J405" s="7">
        <f>IF(AND(E405=0,H405=0),1,0)</f>
        <v>0</v>
      </c>
      <c r="K405" s="7">
        <f>I405*'05 Methodology'!$B$7</f>
        <v>0</v>
      </c>
      <c r="L405" s="7">
        <f>J405*'05 Methodology'!$B$7</f>
        <v>0</v>
      </c>
      <c r="M405" s="7" t="str">
        <f>IF(G405=1,"FLAG / HOLD","INDEXED")</f>
        <v>INDEXED</v>
      </c>
      <c r="N405" s="1" t="str">
        <f>IF(H405=1,"FLAG / HOLD","INDEXED")</f>
        <v>INDEXED</v>
      </c>
      <c r="O405" s="1" t="s">
        <v>18</v>
      </c>
      <c r="P405" s="1" t="s">
        <v>19</v>
      </c>
      <c r="Q405" s="1"/>
      <c r="R405" s="1"/>
      <c r="S405" s="1"/>
      <c r="T405" s="1"/>
      <c r="U405" s="1"/>
    </row>
    <row r="406" spans="1:21" x14ac:dyDescent="0.2">
      <c r="A406" s="7" t="s">
        <v>426</v>
      </c>
      <c r="B406" s="7">
        <v>4</v>
      </c>
      <c r="C406" s="7">
        <v>4</v>
      </c>
      <c r="D406" s="7" t="str">
        <f>IF(B406=C406,"MATCH","MISMATCH")</f>
        <v>MATCH</v>
      </c>
      <c r="E406" s="7">
        <f>IF(F406="None",1,0)</f>
        <v>1</v>
      </c>
      <c r="F406" s="7" t="s">
        <v>17</v>
      </c>
      <c r="G406" s="7">
        <v>0</v>
      </c>
      <c r="H406" s="7">
        <v>0</v>
      </c>
      <c r="I406" s="7">
        <f>IF(AND(E406=0,G406=0),1,0)</f>
        <v>0</v>
      </c>
      <c r="J406" s="7">
        <f>IF(AND(E406=0,H406=0),1,0)</f>
        <v>0</v>
      </c>
      <c r="K406" s="7">
        <f>I406*'05 Methodology'!$B$7</f>
        <v>0</v>
      </c>
      <c r="L406" s="7">
        <f>J406*'05 Methodology'!$B$7</f>
        <v>0</v>
      </c>
      <c r="M406" s="7" t="str">
        <f>IF(G406=1,"FLAG / HOLD","INDEXED")</f>
        <v>INDEXED</v>
      </c>
      <c r="N406" s="1" t="str">
        <f>IF(H406=1,"FLAG / HOLD","INDEXED")</f>
        <v>INDEXED</v>
      </c>
      <c r="O406" s="1" t="s">
        <v>18</v>
      </c>
      <c r="P406" s="1" t="s">
        <v>19</v>
      </c>
      <c r="Q406" s="1"/>
      <c r="R406" s="1"/>
      <c r="S406" s="1"/>
      <c r="T406" s="1"/>
      <c r="U406" s="1"/>
    </row>
    <row r="407" spans="1:21" x14ac:dyDescent="0.2">
      <c r="A407" s="7" t="s">
        <v>427</v>
      </c>
      <c r="B407" s="7">
        <v>6</v>
      </c>
      <c r="C407" s="7">
        <v>6</v>
      </c>
      <c r="D407" s="7" t="str">
        <f>IF(B407=C407,"MATCH","MISMATCH")</f>
        <v>MATCH</v>
      </c>
      <c r="E407" s="7">
        <f>IF(F407="None",1,0)</f>
        <v>1</v>
      </c>
      <c r="F407" s="7" t="s">
        <v>17</v>
      </c>
      <c r="G407" s="7">
        <v>0</v>
      </c>
      <c r="H407" s="7">
        <v>0</v>
      </c>
      <c r="I407" s="7">
        <f>IF(AND(E407=0,G407=0),1,0)</f>
        <v>0</v>
      </c>
      <c r="J407" s="7">
        <f>IF(AND(E407=0,H407=0),1,0)</f>
        <v>0</v>
      </c>
      <c r="K407" s="7">
        <f>I407*'05 Methodology'!$B$7</f>
        <v>0</v>
      </c>
      <c r="L407" s="7">
        <f>J407*'05 Methodology'!$B$7</f>
        <v>0</v>
      </c>
      <c r="M407" s="7" t="str">
        <f>IF(G407=1,"FLAG / HOLD","INDEXED")</f>
        <v>INDEXED</v>
      </c>
      <c r="N407" s="1" t="str">
        <f>IF(H407=1,"FLAG / HOLD","INDEXED")</f>
        <v>INDEXED</v>
      </c>
      <c r="O407" s="1" t="s">
        <v>18</v>
      </c>
      <c r="P407" s="1" t="s">
        <v>19</v>
      </c>
      <c r="Q407" s="1"/>
      <c r="R407" s="1"/>
      <c r="S407" s="1"/>
      <c r="T407" s="1"/>
      <c r="U407" s="1"/>
    </row>
    <row r="408" spans="1:21" x14ac:dyDescent="0.2">
      <c r="A408" s="7" t="s">
        <v>428</v>
      </c>
      <c r="B408" s="7">
        <v>6</v>
      </c>
      <c r="C408" s="7">
        <v>6</v>
      </c>
      <c r="D408" s="7" t="str">
        <f>IF(B408=C408,"MATCH","MISMATCH")</f>
        <v>MATCH</v>
      </c>
      <c r="E408" s="7">
        <f>IF(F408="None",1,0)</f>
        <v>1</v>
      </c>
      <c r="F408" s="7" t="s">
        <v>17</v>
      </c>
      <c r="G408" s="7">
        <v>0</v>
      </c>
      <c r="H408" s="7">
        <v>0</v>
      </c>
      <c r="I408" s="7">
        <f>IF(AND(E408=0,G408=0),1,0)</f>
        <v>0</v>
      </c>
      <c r="J408" s="7">
        <f>IF(AND(E408=0,H408=0),1,0)</f>
        <v>0</v>
      </c>
      <c r="K408" s="7">
        <f>I408*'05 Methodology'!$B$7</f>
        <v>0</v>
      </c>
      <c r="L408" s="7">
        <f>J408*'05 Methodology'!$B$7</f>
        <v>0</v>
      </c>
      <c r="M408" s="7" t="str">
        <f>IF(G408=1,"FLAG / HOLD","INDEXED")</f>
        <v>INDEXED</v>
      </c>
      <c r="N408" s="1" t="str">
        <f>IF(H408=1,"FLAG / HOLD","INDEXED")</f>
        <v>INDEXED</v>
      </c>
      <c r="O408" s="1" t="s">
        <v>18</v>
      </c>
      <c r="P408" s="1" t="s">
        <v>19</v>
      </c>
      <c r="Q408" s="1"/>
      <c r="R408" s="1"/>
      <c r="S408" s="1"/>
      <c r="T408" s="1"/>
      <c r="U408" s="1"/>
    </row>
    <row r="409" spans="1:21" x14ac:dyDescent="0.2">
      <c r="A409" s="7" t="s">
        <v>429</v>
      </c>
      <c r="B409" s="7">
        <v>7</v>
      </c>
      <c r="C409" s="7">
        <v>7</v>
      </c>
      <c r="D409" s="7" t="str">
        <f>IF(B409=C409,"MATCH","MISMATCH")</f>
        <v>MATCH</v>
      </c>
      <c r="E409" s="7">
        <f>IF(F409="None",1,0)</f>
        <v>1</v>
      </c>
      <c r="F409" s="7" t="s">
        <v>17</v>
      </c>
      <c r="G409" s="7">
        <v>0</v>
      </c>
      <c r="H409" s="7">
        <v>0</v>
      </c>
      <c r="I409" s="7">
        <f>IF(AND(E409=0,G409=0),1,0)</f>
        <v>0</v>
      </c>
      <c r="J409" s="7">
        <f>IF(AND(E409=0,H409=0),1,0)</f>
        <v>0</v>
      </c>
      <c r="K409" s="7">
        <f>I409*'05 Methodology'!$B$7</f>
        <v>0</v>
      </c>
      <c r="L409" s="7">
        <f>J409*'05 Methodology'!$B$7</f>
        <v>0</v>
      </c>
      <c r="M409" s="7" t="str">
        <f>IF(G409=1,"FLAG / HOLD","INDEXED")</f>
        <v>INDEXED</v>
      </c>
      <c r="N409" s="1" t="str">
        <f>IF(H409=1,"FLAG / HOLD","INDEXED")</f>
        <v>INDEXED</v>
      </c>
      <c r="O409" s="1" t="s">
        <v>18</v>
      </c>
      <c r="P409" s="1" t="s">
        <v>19</v>
      </c>
      <c r="Q409" s="1"/>
      <c r="R409" s="1"/>
      <c r="S409" s="1"/>
      <c r="T409" s="1"/>
      <c r="U409" s="1"/>
    </row>
    <row r="410" spans="1:21" x14ac:dyDescent="0.2">
      <c r="A410" s="7" t="s">
        <v>430</v>
      </c>
      <c r="B410" s="7">
        <v>8</v>
      </c>
      <c r="C410" s="7">
        <v>8</v>
      </c>
      <c r="D410" s="7" t="str">
        <f>IF(B410=C410,"MATCH","MISMATCH")</f>
        <v>MATCH</v>
      </c>
      <c r="E410" s="7">
        <f>IF(F410="None",1,0)</f>
        <v>1</v>
      </c>
      <c r="F410" s="7" t="s">
        <v>17</v>
      </c>
      <c r="G410" s="7">
        <v>0</v>
      </c>
      <c r="H410" s="7">
        <v>0</v>
      </c>
      <c r="I410" s="7">
        <f>IF(AND(E410=0,G410=0),1,0)</f>
        <v>0</v>
      </c>
      <c r="J410" s="7">
        <f>IF(AND(E410=0,H410=0),1,0)</f>
        <v>0</v>
      </c>
      <c r="K410" s="7">
        <f>I410*'05 Methodology'!$B$7</f>
        <v>0</v>
      </c>
      <c r="L410" s="7">
        <f>J410*'05 Methodology'!$B$7</f>
        <v>0</v>
      </c>
      <c r="M410" s="7" t="str">
        <f>IF(G410=1,"FLAG / HOLD","INDEXED")</f>
        <v>INDEXED</v>
      </c>
      <c r="N410" s="1" t="str">
        <f>IF(H410=1,"FLAG / HOLD","INDEXED")</f>
        <v>INDEXED</v>
      </c>
      <c r="O410" s="1" t="s">
        <v>18</v>
      </c>
      <c r="P410" s="1" t="s">
        <v>19</v>
      </c>
      <c r="Q410" s="1"/>
      <c r="R410" s="1"/>
      <c r="S410" s="1"/>
      <c r="T410" s="1"/>
      <c r="U410" s="1"/>
    </row>
    <row r="411" spans="1:21" x14ac:dyDescent="0.2">
      <c r="A411" s="7" t="s">
        <v>431</v>
      </c>
      <c r="B411" s="7">
        <v>4</v>
      </c>
      <c r="C411" s="7">
        <v>4</v>
      </c>
      <c r="D411" s="7" t="str">
        <f>IF(B411=C411,"MATCH","MISMATCH")</f>
        <v>MATCH</v>
      </c>
      <c r="E411" s="7">
        <f>IF(F411="None",1,0)</f>
        <v>1</v>
      </c>
      <c r="F411" s="7" t="s">
        <v>17</v>
      </c>
      <c r="G411" s="7">
        <v>0</v>
      </c>
      <c r="H411" s="7">
        <v>0</v>
      </c>
      <c r="I411" s="7">
        <f>IF(AND(E411=0,G411=0),1,0)</f>
        <v>0</v>
      </c>
      <c r="J411" s="7">
        <f>IF(AND(E411=0,H411=0),1,0)</f>
        <v>0</v>
      </c>
      <c r="K411" s="7">
        <f>I411*'05 Methodology'!$B$7</f>
        <v>0</v>
      </c>
      <c r="L411" s="7">
        <f>J411*'05 Methodology'!$B$7</f>
        <v>0</v>
      </c>
      <c r="M411" s="7" t="str">
        <f>IF(G411=1,"FLAG / HOLD","INDEXED")</f>
        <v>INDEXED</v>
      </c>
      <c r="N411" s="1" t="str">
        <f>IF(H411=1,"FLAG / HOLD","INDEXED")</f>
        <v>INDEXED</v>
      </c>
      <c r="O411" s="1" t="s">
        <v>18</v>
      </c>
      <c r="P411" s="1" t="s">
        <v>19</v>
      </c>
      <c r="Q411" s="1"/>
      <c r="R411" s="1"/>
      <c r="S411" s="1"/>
      <c r="T411" s="1"/>
      <c r="U411" s="1"/>
    </row>
    <row r="412" spans="1:21" x14ac:dyDescent="0.2">
      <c r="A412" s="7" t="s">
        <v>432</v>
      </c>
      <c r="B412" s="7">
        <v>5</v>
      </c>
      <c r="C412" s="7">
        <v>5</v>
      </c>
      <c r="D412" s="7" t="str">
        <f>IF(B412=C412,"MATCH","MISMATCH")</f>
        <v>MATCH</v>
      </c>
      <c r="E412" s="7">
        <f>IF(F412="None",1,0)</f>
        <v>1</v>
      </c>
      <c r="F412" s="7" t="s">
        <v>17</v>
      </c>
      <c r="G412" s="7">
        <v>0</v>
      </c>
      <c r="H412" s="7">
        <v>0</v>
      </c>
      <c r="I412" s="7">
        <f>IF(AND(E412=0,G412=0),1,0)</f>
        <v>0</v>
      </c>
      <c r="J412" s="7">
        <f>IF(AND(E412=0,H412=0),1,0)</f>
        <v>0</v>
      </c>
      <c r="K412" s="7">
        <f>I412*'05 Methodology'!$B$7</f>
        <v>0</v>
      </c>
      <c r="L412" s="7">
        <f>J412*'05 Methodology'!$B$7</f>
        <v>0</v>
      </c>
      <c r="M412" s="7" t="str">
        <f>IF(G412=1,"FLAG / HOLD","INDEXED")</f>
        <v>INDEXED</v>
      </c>
      <c r="N412" s="1" t="str">
        <f>IF(H412=1,"FLAG / HOLD","INDEXED")</f>
        <v>INDEXED</v>
      </c>
      <c r="O412" s="1" t="s">
        <v>18</v>
      </c>
      <c r="P412" s="1" t="s">
        <v>19</v>
      </c>
      <c r="Q412" s="1"/>
      <c r="R412" s="1"/>
      <c r="S412" s="1"/>
      <c r="T412" s="1"/>
      <c r="U412" s="1"/>
    </row>
    <row r="413" spans="1:21" x14ac:dyDescent="0.2">
      <c r="A413" s="7" t="s">
        <v>433</v>
      </c>
      <c r="B413" s="7">
        <v>6</v>
      </c>
      <c r="C413" s="7">
        <v>6</v>
      </c>
      <c r="D413" s="7" t="str">
        <f>IF(B413=C413,"MATCH","MISMATCH")</f>
        <v>MATCH</v>
      </c>
      <c r="E413" s="7">
        <f>IF(F413="None",1,0)</f>
        <v>1</v>
      </c>
      <c r="F413" s="7" t="s">
        <v>17</v>
      </c>
      <c r="G413" s="7">
        <v>0</v>
      </c>
      <c r="H413" s="7">
        <v>0</v>
      </c>
      <c r="I413" s="7">
        <f>IF(AND(E413=0,G413=0),1,0)</f>
        <v>0</v>
      </c>
      <c r="J413" s="7">
        <f>IF(AND(E413=0,H413=0),1,0)</f>
        <v>0</v>
      </c>
      <c r="K413" s="7">
        <f>I413*'05 Methodology'!$B$7</f>
        <v>0</v>
      </c>
      <c r="L413" s="7">
        <f>J413*'05 Methodology'!$B$7</f>
        <v>0</v>
      </c>
      <c r="M413" s="7" t="str">
        <f>IF(G413=1,"FLAG / HOLD","INDEXED")</f>
        <v>INDEXED</v>
      </c>
      <c r="N413" s="1" t="str">
        <f>IF(H413=1,"FLAG / HOLD","INDEXED")</f>
        <v>INDEXED</v>
      </c>
      <c r="O413" s="1" t="s">
        <v>18</v>
      </c>
      <c r="P413" s="1" t="s">
        <v>19</v>
      </c>
      <c r="Q413" s="1"/>
      <c r="R413" s="1"/>
      <c r="S413" s="1"/>
      <c r="T413" s="1"/>
      <c r="U413" s="1"/>
    </row>
    <row r="414" spans="1:21" x14ac:dyDescent="0.2">
      <c r="A414" s="7" t="s">
        <v>434</v>
      </c>
      <c r="B414" s="7">
        <v>6</v>
      </c>
      <c r="C414" s="7">
        <v>6</v>
      </c>
      <c r="D414" s="7" t="str">
        <f>IF(B414=C414,"MATCH","MISMATCH")</f>
        <v>MATCH</v>
      </c>
      <c r="E414" s="7">
        <f>IF(F414="None",1,0)</f>
        <v>1</v>
      </c>
      <c r="F414" s="7" t="s">
        <v>17</v>
      </c>
      <c r="G414" s="7">
        <v>0</v>
      </c>
      <c r="H414" s="7">
        <v>0</v>
      </c>
      <c r="I414" s="7">
        <f>IF(AND(E414=0,G414=0),1,0)</f>
        <v>0</v>
      </c>
      <c r="J414" s="7">
        <f>IF(AND(E414=0,H414=0),1,0)</f>
        <v>0</v>
      </c>
      <c r="K414" s="7">
        <f>I414*'05 Methodology'!$B$7</f>
        <v>0</v>
      </c>
      <c r="L414" s="7">
        <f>J414*'05 Methodology'!$B$7</f>
        <v>0</v>
      </c>
      <c r="M414" s="7" t="str">
        <f>IF(G414=1,"FLAG / HOLD","INDEXED")</f>
        <v>INDEXED</v>
      </c>
      <c r="N414" s="1" t="str">
        <f>IF(H414=1,"FLAG / HOLD","INDEXED")</f>
        <v>INDEXED</v>
      </c>
      <c r="O414" s="1" t="s">
        <v>18</v>
      </c>
      <c r="P414" s="1" t="s">
        <v>19</v>
      </c>
      <c r="Q414" s="1"/>
      <c r="R414" s="1"/>
      <c r="S414" s="1"/>
      <c r="T414" s="1"/>
      <c r="U414" s="1"/>
    </row>
    <row r="415" spans="1:21" x14ac:dyDescent="0.2">
      <c r="A415" s="7" t="s">
        <v>435</v>
      </c>
      <c r="B415" s="7">
        <v>8</v>
      </c>
      <c r="C415" s="7">
        <v>8</v>
      </c>
      <c r="D415" s="7" t="str">
        <f>IF(B415=C415,"MATCH","MISMATCH")</f>
        <v>MATCH</v>
      </c>
      <c r="E415" s="7">
        <f>IF(F415="None",1,0)</f>
        <v>1</v>
      </c>
      <c r="F415" s="7" t="s">
        <v>17</v>
      </c>
      <c r="G415" s="7">
        <v>0</v>
      </c>
      <c r="H415" s="7">
        <v>0</v>
      </c>
      <c r="I415" s="7">
        <f>IF(AND(E415=0,G415=0),1,0)</f>
        <v>0</v>
      </c>
      <c r="J415" s="7">
        <f>IF(AND(E415=0,H415=0),1,0)</f>
        <v>0</v>
      </c>
      <c r="K415" s="7">
        <f>I415*'05 Methodology'!$B$7</f>
        <v>0</v>
      </c>
      <c r="L415" s="7">
        <f>J415*'05 Methodology'!$B$7</f>
        <v>0</v>
      </c>
      <c r="M415" s="7" t="str">
        <f>IF(G415=1,"FLAG / HOLD","INDEXED")</f>
        <v>INDEXED</v>
      </c>
      <c r="N415" s="1" t="str">
        <f>IF(H415=1,"FLAG / HOLD","INDEXED")</f>
        <v>INDEXED</v>
      </c>
      <c r="O415" s="1" t="s">
        <v>18</v>
      </c>
      <c r="P415" s="1" t="s">
        <v>19</v>
      </c>
      <c r="Q415" s="1"/>
      <c r="R415" s="1"/>
      <c r="S415" s="1"/>
      <c r="T415" s="1"/>
      <c r="U415" s="1"/>
    </row>
    <row r="416" spans="1:21" x14ac:dyDescent="0.2">
      <c r="A416" s="7" t="s">
        <v>436</v>
      </c>
      <c r="B416" s="7">
        <v>4</v>
      </c>
      <c r="C416" s="7">
        <v>4</v>
      </c>
      <c r="D416" s="7" t="str">
        <f>IF(B416=C416,"MATCH","MISMATCH")</f>
        <v>MATCH</v>
      </c>
      <c r="E416" s="7">
        <f>IF(F416="None",1,0)</f>
        <v>1</v>
      </c>
      <c r="F416" s="7" t="s">
        <v>17</v>
      </c>
      <c r="G416" s="7">
        <v>0</v>
      </c>
      <c r="H416" s="7">
        <v>0</v>
      </c>
      <c r="I416" s="7">
        <f>IF(AND(E416=0,G416=0),1,0)</f>
        <v>0</v>
      </c>
      <c r="J416" s="7">
        <f>IF(AND(E416=0,H416=0),1,0)</f>
        <v>0</v>
      </c>
      <c r="K416" s="7">
        <f>I416*'05 Methodology'!$B$7</f>
        <v>0</v>
      </c>
      <c r="L416" s="7">
        <f>J416*'05 Methodology'!$B$7</f>
        <v>0</v>
      </c>
      <c r="M416" s="7" t="str">
        <f>IF(G416=1,"FLAG / HOLD","INDEXED")</f>
        <v>INDEXED</v>
      </c>
      <c r="N416" s="1" t="str">
        <f>IF(H416=1,"FLAG / HOLD","INDEXED")</f>
        <v>INDEXED</v>
      </c>
      <c r="O416" s="1" t="s">
        <v>18</v>
      </c>
      <c r="P416" s="1" t="s">
        <v>19</v>
      </c>
      <c r="Q416" s="1"/>
      <c r="R416" s="1"/>
      <c r="S416" s="1"/>
      <c r="T416" s="1"/>
      <c r="U416" s="1"/>
    </row>
    <row r="417" spans="1:21" x14ac:dyDescent="0.2">
      <c r="A417" s="7" t="s">
        <v>437</v>
      </c>
      <c r="B417" s="7">
        <v>5</v>
      </c>
      <c r="C417" s="7">
        <v>5</v>
      </c>
      <c r="D417" s="7" t="str">
        <f>IF(B417=C417,"MATCH","MISMATCH")</f>
        <v>MATCH</v>
      </c>
      <c r="E417" s="7">
        <f>IF(F417="None",1,0)</f>
        <v>1</v>
      </c>
      <c r="F417" s="7" t="s">
        <v>17</v>
      </c>
      <c r="G417" s="7">
        <v>0</v>
      </c>
      <c r="H417" s="7">
        <v>0</v>
      </c>
      <c r="I417" s="7">
        <f>IF(AND(E417=0,G417=0),1,0)</f>
        <v>0</v>
      </c>
      <c r="J417" s="7">
        <f>IF(AND(E417=0,H417=0),1,0)</f>
        <v>0</v>
      </c>
      <c r="K417" s="7">
        <f>I417*'05 Methodology'!$B$7</f>
        <v>0</v>
      </c>
      <c r="L417" s="7">
        <f>J417*'05 Methodology'!$B$7</f>
        <v>0</v>
      </c>
      <c r="M417" s="7" t="str">
        <f>IF(G417=1,"FLAG / HOLD","INDEXED")</f>
        <v>INDEXED</v>
      </c>
      <c r="N417" s="1" t="str">
        <f>IF(H417=1,"FLAG / HOLD","INDEXED")</f>
        <v>INDEXED</v>
      </c>
      <c r="O417" s="1" t="s">
        <v>18</v>
      </c>
      <c r="P417" s="1" t="s">
        <v>19</v>
      </c>
      <c r="Q417" s="1"/>
      <c r="R417" s="1"/>
      <c r="S417" s="1"/>
      <c r="T417" s="1"/>
      <c r="U417" s="1"/>
    </row>
    <row r="418" spans="1:21" x14ac:dyDescent="0.2">
      <c r="A418" s="7" t="s">
        <v>438</v>
      </c>
      <c r="B418" s="7">
        <v>6</v>
      </c>
      <c r="C418" s="7">
        <v>6</v>
      </c>
      <c r="D418" s="7" t="str">
        <f>IF(B418=C418,"MATCH","MISMATCH")</f>
        <v>MATCH</v>
      </c>
      <c r="E418" s="7">
        <f>IF(F418="None",1,0)</f>
        <v>1</v>
      </c>
      <c r="F418" s="7" t="s">
        <v>17</v>
      </c>
      <c r="G418" s="7">
        <v>0</v>
      </c>
      <c r="H418" s="7">
        <v>0</v>
      </c>
      <c r="I418" s="7">
        <f>IF(AND(E418=0,G418=0),1,0)</f>
        <v>0</v>
      </c>
      <c r="J418" s="7">
        <f>IF(AND(E418=0,H418=0),1,0)</f>
        <v>0</v>
      </c>
      <c r="K418" s="7">
        <f>I418*'05 Methodology'!$B$7</f>
        <v>0</v>
      </c>
      <c r="L418" s="7">
        <f>J418*'05 Methodology'!$B$7</f>
        <v>0</v>
      </c>
      <c r="M418" s="7" t="str">
        <f>IF(G418=1,"FLAG / HOLD","INDEXED")</f>
        <v>INDEXED</v>
      </c>
      <c r="N418" s="1" t="str">
        <f>IF(H418=1,"FLAG / HOLD","INDEXED")</f>
        <v>INDEXED</v>
      </c>
      <c r="O418" s="1" t="s">
        <v>18</v>
      </c>
      <c r="P418" s="1" t="s">
        <v>19</v>
      </c>
      <c r="Q418" s="1"/>
      <c r="R418" s="1"/>
      <c r="S418" s="1"/>
      <c r="T418" s="1"/>
      <c r="U418" s="1"/>
    </row>
    <row r="419" spans="1:21" x14ac:dyDescent="0.2">
      <c r="A419" s="7" t="s">
        <v>439</v>
      </c>
      <c r="B419" s="7">
        <v>7</v>
      </c>
      <c r="C419" s="7">
        <v>7</v>
      </c>
      <c r="D419" s="7" t="str">
        <f>IF(B419=C419,"MATCH","MISMATCH")</f>
        <v>MATCH</v>
      </c>
      <c r="E419" s="7">
        <f>IF(F419="None",1,0)</f>
        <v>1</v>
      </c>
      <c r="F419" s="7" t="s">
        <v>17</v>
      </c>
      <c r="G419" s="7">
        <v>0</v>
      </c>
      <c r="H419" s="7">
        <v>0</v>
      </c>
      <c r="I419" s="7">
        <f>IF(AND(E419=0,G419=0),1,0)</f>
        <v>0</v>
      </c>
      <c r="J419" s="7">
        <f>IF(AND(E419=0,H419=0),1,0)</f>
        <v>0</v>
      </c>
      <c r="K419" s="7">
        <f>I419*'05 Methodology'!$B$7</f>
        <v>0</v>
      </c>
      <c r="L419" s="7">
        <f>J419*'05 Methodology'!$B$7</f>
        <v>0</v>
      </c>
      <c r="M419" s="7" t="str">
        <f>IF(G419=1,"FLAG / HOLD","INDEXED")</f>
        <v>INDEXED</v>
      </c>
      <c r="N419" s="1" t="str">
        <f>IF(H419=1,"FLAG / HOLD","INDEXED")</f>
        <v>INDEXED</v>
      </c>
      <c r="O419" s="1" t="s">
        <v>18</v>
      </c>
      <c r="P419" s="1" t="s">
        <v>19</v>
      </c>
      <c r="Q419" s="1"/>
      <c r="R419" s="1"/>
      <c r="S419" s="1"/>
      <c r="T419" s="1"/>
      <c r="U419" s="1"/>
    </row>
    <row r="420" spans="1:21" x14ac:dyDescent="0.2">
      <c r="A420" s="7" t="s">
        <v>440</v>
      </c>
      <c r="B420" s="7">
        <v>8</v>
      </c>
      <c r="C420" s="7">
        <v>8</v>
      </c>
      <c r="D420" s="7" t="str">
        <f>IF(B420=C420,"MATCH","MISMATCH")</f>
        <v>MATCH</v>
      </c>
      <c r="E420" s="7">
        <f>IF(F420="None",1,0)</f>
        <v>1</v>
      </c>
      <c r="F420" s="7" t="s">
        <v>17</v>
      </c>
      <c r="G420" s="7">
        <v>0</v>
      </c>
      <c r="H420" s="7">
        <v>0</v>
      </c>
      <c r="I420" s="7">
        <f>IF(AND(E420=0,G420=0),1,0)</f>
        <v>0</v>
      </c>
      <c r="J420" s="7">
        <f>IF(AND(E420=0,H420=0),1,0)</f>
        <v>0</v>
      </c>
      <c r="K420" s="7">
        <f>I420*'05 Methodology'!$B$7</f>
        <v>0</v>
      </c>
      <c r="L420" s="7">
        <f>J420*'05 Methodology'!$B$7</f>
        <v>0</v>
      </c>
      <c r="M420" s="7" t="str">
        <f>IF(G420=1,"FLAG / HOLD","INDEXED")</f>
        <v>INDEXED</v>
      </c>
      <c r="N420" s="1" t="str">
        <f>IF(H420=1,"FLAG / HOLD","INDEXED")</f>
        <v>INDEXED</v>
      </c>
      <c r="O420" s="1" t="s">
        <v>18</v>
      </c>
      <c r="P420" s="1" t="s">
        <v>19</v>
      </c>
      <c r="Q420" s="1"/>
      <c r="R420" s="1"/>
      <c r="S420" s="1"/>
      <c r="T420" s="1"/>
      <c r="U420" s="1"/>
    </row>
    <row r="421" spans="1:21" x14ac:dyDescent="0.2">
      <c r="A421" s="7" t="s">
        <v>441</v>
      </c>
      <c r="B421" s="7">
        <v>6</v>
      </c>
      <c r="C421" s="7">
        <v>6</v>
      </c>
      <c r="D421" s="7" t="str">
        <f>IF(B421=C421,"MATCH","MISMATCH")</f>
        <v>MATCH</v>
      </c>
      <c r="E421" s="7">
        <f>IF(F421="None",1,0)</f>
        <v>1</v>
      </c>
      <c r="F421" s="7" t="s">
        <v>17</v>
      </c>
      <c r="G421" s="7">
        <v>0</v>
      </c>
      <c r="H421" s="7">
        <v>0</v>
      </c>
      <c r="I421" s="7">
        <f>IF(AND(E421=0,G421=0),1,0)</f>
        <v>0</v>
      </c>
      <c r="J421" s="7">
        <f>IF(AND(E421=0,H421=0),1,0)</f>
        <v>0</v>
      </c>
      <c r="K421" s="7">
        <f>I421*'05 Methodology'!$B$7</f>
        <v>0</v>
      </c>
      <c r="L421" s="7">
        <f>J421*'05 Methodology'!$B$7</f>
        <v>0</v>
      </c>
      <c r="M421" s="7" t="str">
        <f>IF(G421=1,"FLAG / HOLD","INDEXED")</f>
        <v>INDEXED</v>
      </c>
      <c r="N421" s="1" t="str">
        <f>IF(H421=1,"FLAG / HOLD","INDEXED")</f>
        <v>INDEXED</v>
      </c>
      <c r="O421" s="1" t="s">
        <v>18</v>
      </c>
      <c r="P421" s="1" t="s">
        <v>19</v>
      </c>
      <c r="Q421" s="1"/>
      <c r="R421" s="1"/>
      <c r="S421" s="1"/>
      <c r="T421" s="1"/>
      <c r="U421" s="1"/>
    </row>
    <row r="422" spans="1:21" x14ac:dyDescent="0.2">
      <c r="A422" s="7" t="s">
        <v>442</v>
      </c>
      <c r="B422" s="7">
        <v>5</v>
      </c>
      <c r="C422" s="7">
        <v>5</v>
      </c>
      <c r="D422" s="7" t="str">
        <f>IF(B422=C422,"MATCH","MISMATCH")</f>
        <v>MATCH</v>
      </c>
      <c r="E422" s="7">
        <f>IF(F422="None",1,0)</f>
        <v>1</v>
      </c>
      <c r="F422" s="7" t="s">
        <v>17</v>
      </c>
      <c r="G422" s="7">
        <v>0</v>
      </c>
      <c r="H422" s="7">
        <v>0</v>
      </c>
      <c r="I422" s="7">
        <f>IF(AND(E422=0,G422=0),1,0)</f>
        <v>0</v>
      </c>
      <c r="J422" s="7">
        <f>IF(AND(E422=0,H422=0),1,0)</f>
        <v>0</v>
      </c>
      <c r="K422" s="7">
        <f>I422*'05 Methodology'!$B$7</f>
        <v>0</v>
      </c>
      <c r="L422" s="7">
        <f>J422*'05 Methodology'!$B$7</f>
        <v>0</v>
      </c>
      <c r="M422" s="7" t="str">
        <f>IF(G422=1,"FLAG / HOLD","INDEXED")</f>
        <v>INDEXED</v>
      </c>
      <c r="N422" s="1" t="str">
        <f>IF(H422=1,"FLAG / HOLD","INDEXED")</f>
        <v>INDEXED</v>
      </c>
      <c r="O422" s="1" t="s">
        <v>18</v>
      </c>
      <c r="P422" s="1" t="s">
        <v>19</v>
      </c>
      <c r="Q422" s="1"/>
      <c r="R422" s="1"/>
      <c r="S422" s="1"/>
      <c r="T422" s="1"/>
      <c r="U422" s="1"/>
    </row>
    <row r="423" spans="1:21" x14ac:dyDescent="0.2">
      <c r="A423" s="7" t="s">
        <v>443</v>
      </c>
      <c r="B423" s="7">
        <v>6</v>
      </c>
      <c r="C423" s="7">
        <v>6</v>
      </c>
      <c r="D423" s="7" t="str">
        <f>IF(B423=C423,"MATCH","MISMATCH")</f>
        <v>MATCH</v>
      </c>
      <c r="E423" s="7">
        <f>IF(F423="None",1,0)</f>
        <v>1</v>
      </c>
      <c r="F423" s="7" t="s">
        <v>17</v>
      </c>
      <c r="G423" s="7">
        <v>0</v>
      </c>
      <c r="H423" s="7">
        <v>0</v>
      </c>
      <c r="I423" s="7">
        <f>IF(AND(E423=0,G423=0),1,0)</f>
        <v>0</v>
      </c>
      <c r="J423" s="7">
        <f>IF(AND(E423=0,H423=0),1,0)</f>
        <v>0</v>
      </c>
      <c r="K423" s="7">
        <f>I423*'05 Methodology'!$B$7</f>
        <v>0</v>
      </c>
      <c r="L423" s="7">
        <f>J423*'05 Methodology'!$B$7</f>
        <v>0</v>
      </c>
      <c r="M423" s="7" t="str">
        <f>IF(G423=1,"FLAG / HOLD","INDEXED")</f>
        <v>INDEXED</v>
      </c>
      <c r="N423" s="1" t="str">
        <f>IF(H423=1,"FLAG / HOLD","INDEXED")</f>
        <v>INDEXED</v>
      </c>
      <c r="O423" s="1" t="s">
        <v>18</v>
      </c>
      <c r="P423" s="1" t="s">
        <v>19</v>
      </c>
      <c r="Q423" s="1"/>
      <c r="R423" s="1"/>
      <c r="S423" s="1"/>
      <c r="T423" s="1"/>
      <c r="U423" s="1"/>
    </row>
    <row r="424" spans="1:21" x14ac:dyDescent="0.2">
      <c r="A424" s="7" t="s">
        <v>444</v>
      </c>
      <c r="B424" s="7">
        <v>7</v>
      </c>
      <c r="C424" s="7">
        <v>7</v>
      </c>
      <c r="D424" s="7" t="str">
        <f>IF(B424=C424,"MATCH","MISMATCH")</f>
        <v>MATCH</v>
      </c>
      <c r="E424" s="7">
        <f>IF(F424="None",1,0)</f>
        <v>1</v>
      </c>
      <c r="F424" s="7" t="s">
        <v>17</v>
      </c>
      <c r="G424" s="7">
        <v>0</v>
      </c>
      <c r="H424" s="7">
        <v>0</v>
      </c>
      <c r="I424" s="7">
        <f>IF(AND(E424=0,G424=0),1,0)</f>
        <v>0</v>
      </c>
      <c r="J424" s="7">
        <f>IF(AND(E424=0,H424=0),1,0)</f>
        <v>0</v>
      </c>
      <c r="K424" s="7">
        <f>I424*'05 Methodology'!$B$7</f>
        <v>0</v>
      </c>
      <c r="L424" s="7">
        <f>J424*'05 Methodology'!$B$7</f>
        <v>0</v>
      </c>
      <c r="M424" s="7" t="str">
        <f>IF(G424=1,"FLAG / HOLD","INDEXED")</f>
        <v>INDEXED</v>
      </c>
      <c r="N424" s="1" t="str">
        <f>IF(H424=1,"FLAG / HOLD","INDEXED")</f>
        <v>INDEXED</v>
      </c>
      <c r="O424" s="1" t="s">
        <v>18</v>
      </c>
      <c r="P424" s="1" t="s">
        <v>19</v>
      </c>
      <c r="Q424" s="1"/>
      <c r="R424" s="1"/>
      <c r="S424" s="1"/>
      <c r="T424" s="1"/>
      <c r="U424" s="1"/>
    </row>
    <row r="425" spans="1:21" x14ac:dyDescent="0.2">
      <c r="A425" s="7" t="s">
        <v>445</v>
      </c>
      <c r="B425" s="7">
        <v>8</v>
      </c>
      <c r="C425" s="7">
        <v>8</v>
      </c>
      <c r="D425" s="7" t="str">
        <f>IF(B425=C425,"MATCH","MISMATCH")</f>
        <v>MATCH</v>
      </c>
      <c r="E425" s="7">
        <f>IF(F425="None",1,0)</f>
        <v>1</v>
      </c>
      <c r="F425" s="7" t="s">
        <v>17</v>
      </c>
      <c r="G425" s="7">
        <v>0</v>
      </c>
      <c r="H425" s="7">
        <v>0</v>
      </c>
      <c r="I425" s="7">
        <f>IF(AND(E425=0,G425=0),1,0)</f>
        <v>0</v>
      </c>
      <c r="J425" s="7">
        <f>IF(AND(E425=0,H425=0),1,0)</f>
        <v>0</v>
      </c>
      <c r="K425" s="7">
        <f>I425*'05 Methodology'!$B$7</f>
        <v>0</v>
      </c>
      <c r="L425" s="7">
        <f>J425*'05 Methodology'!$B$7</f>
        <v>0</v>
      </c>
      <c r="M425" s="7" t="str">
        <f>IF(G425=1,"FLAG / HOLD","INDEXED")</f>
        <v>INDEXED</v>
      </c>
      <c r="N425" s="1" t="str">
        <f>IF(H425=1,"FLAG / HOLD","INDEXED")</f>
        <v>INDEXED</v>
      </c>
      <c r="O425" s="1" t="s">
        <v>18</v>
      </c>
      <c r="P425" s="1" t="s">
        <v>19</v>
      </c>
      <c r="Q425" s="1"/>
      <c r="R425" s="1"/>
      <c r="S425" s="1"/>
      <c r="T425" s="1"/>
      <c r="U425" s="1"/>
    </row>
    <row r="426" spans="1:21" x14ac:dyDescent="0.2">
      <c r="A426" s="7" t="s">
        <v>446</v>
      </c>
      <c r="B426" s="7">
        <v>4</v>
      </c>
      <c r="C426" s="7">
        <v>4</v>
      </c>
      <c r="D426" s="7" t="str">
        <f>IF(B426=C426,"MATCH","MISMATCH")</f>
        <v>MATCH</v>
      </c>
      <c r="E426" s="7">
        <f>IF(F426="None",1,0)</f>
        <v>1</v>
      </c>
      <c r="F426" s="7" t="s">
        <v>17</v>
      </c>
      <c r="G426" s="7">
        <v>0</v>
      </c>
      <c r="H426" s="7">
        <v>0</v>
      </c>
      <c r="I426" s="7">
        <f>IF(AND(E426=0,G426=0),1,0)</f>
        <v>0</v>
      </c>
      <c r="J426" s="7">
        <f>IF(AND(E426=0,H426=0),1,0)</f>
        <v>0</v>
      </c>
      <c r="K426" s="7">
        <f>I426*'05 Methodology'!$B$7</f>
        <v>0</v>
      </c>
      <c r="L426" s="7">
        <f>J426*'05 Methodology'!$B$7</f>
        <v>0</v>
      </c>
      <c r="M426" s="7" t="str">
        <f>IF(G426=1,"FLAG / HOLD","INDEXED")</f>
        <v>INDEXED</v>
      </c>
      <c r="N426" s="1" t="str">
        <f>IF(H426=1,"FLAG / HOLD","INDEXED")</f>
        <v>INDEXED</v>
      </c>
      <c r="O426" s="1" t="s">
        <v>18</v>
      </c>
      <c r="P426" s="1" t="s">
        <v>19</v>
      </c>
      <c r="Q426" s="1"/>
      <c r="R426" s="1"/>
      <c r="S426" s="1"/>
      <c r="T426" s="1"/>
      <c r="U426" s="1"/>
    </row>
    <row r="427" spans="1:21" x14ac:dyDescent="0.2">
      <c r="A427" s="7" t="s">
        <v>447</v>
      </c>
      <c r="B427" s="7">
        <v>5</v>
      </c>
      <c r="C427" s="7">
        <v>5</v>
      </c>
      <c r="D427" s="7" t="str">
        <f>IF(B427=C427,"MATCH","MISMATCH")</f>
        <v>MATCH</v>
      </c>
      <c r="E427" s="7">
        <f>IF(F427="None",1,0)</f>
        <v>1</v>
      </c>
      <c r="F427" s="7" t="s">
        <v>17</v>
      </c>
      <c r="G427" s="7">
        <v>0</v>
      </c>
      <c r="H427" s="7">
        <v>0</v>
      </c>
      <c r="I427" s="7">
        <f>IF(AND(E427=0,G427=0),1,0)</f>
        <v>0</v>
      </c>
      <c r="J427" s="7">
        <f>IF(AND(E427=0,H427=0),1,0)</f>
        <v>0</v>
      </c>
      <c r="K427" s="7">
        <f>I427*'05 Methodology'!$B$7</f>
        <v>0</v>
      </c>
      <c r="L427" s="7">
        <f>J427*'05 Methodology'!$B$7</f>
        <v>0</v>
      </c>
      <c r="M427" s="7" t="str">
        <f>IF(G427=1,"FLAG / HOLD","INDEXED")</f>
        <v>INDEXED</v>
      </c>
      <c r="N427" s="1" t="str">
        <f>IF(H427=1,"FLAG / HOLD","INDEXED")</f>
        <v>INDEXED</v>
      </c>
      <c r="O427" s="1" t="s">
        <v>18</v>
      </c>
      <c r="P427" s="1" t="s">
        <v>19</v>
      </c>
      <c r="Q427" s="1"/>
      <c r="R427" s="1"/>
      <c r="S427" s="1"/>
      <c r="T427" s="1"/>
      <c r="U427" s="1"/>
    </row>
    <row r="428" spans="1:21" x14ac:dyDescent="0.2">
      <c r="A428" s="7" t="s">
        <v>448</v>
      </c>
      <c r="B428" s="7">
        <v>6</v>
      </c>
      <c r="C428" s="7">
        <v>6</v>
      </c>
      <c r="D428" s="7" t="str">
        <f>IF(B428=C428,"MATCH","MISMATCH")</f>
        <v>MATCH</v>
      </c>
      <c r="E428" s="7">
        <f>IF(F428="None",1,0)</f>
        <v>1</v>
      </c>
      <c r="F428" s="7" t="s">
        <v>17</v>
      </c>
      <c r="G428" s="7">
        <v>0</v>
      </c>
      <c r="H428" s="7">
        <v>0</v>
      </c>
      <c r="I428" s="7">
        <f>IF(AND(E428=0,G428=0),1,0)</f>
        <v>0</v>
      </c>
      <c r="J428" s="7">
        <f>IF(AND(E428=0,H428=0),1,0)</f>
        <v>0</v>
      </c>
      <c r="K428" s="7">
        <f>I428*'05 Methodology'!$B$7</f>
        <v>0</v>
      </c>
      <c r="L428" s="7">
        <f>J428*'05 Methodology'!$B$7</f>
        <v>0</v>
      </c>
      <c r="M428" s="7" t="str">
        <f>IF(G428=1,"FLAG / HOLD","INDEXED")</f>
        <v>INDEXED</v>
      </c>
      <c r="N428" s="1" t="str">
        <f>IF(H428=1,"FLAG / HOLD","INDEXED")</f>
        <v>INDEXED</v>
      </c>
      <c r="O428" s="1" t="s">
        <v>18</v>
      </c>
      <c r="P428" s="1" t="s">
        <v>19</v>
      </c>
      <c r="Q428" s="1"/>
      <c r="R428" s="1"/>
      <c r="S428" s="1"/>
      <c r="T428" s="1"/>
      <c r="U428" s="1"/>
    </row>
    <row r="429" spans="1:21" x14ac:dyDescent="0.2">
      <c r="A429" s="7" t="s">
        <v>449</v>
      </c>
      <c r="B429" s="7">
        <v>7</v>
      </c>
      <c r="C429" s="7">
        <v>7</v>
      </c>
      <c r="D429" s="7" t="str">
        <f>IF(B429=C429,"MATCH","MISMATCH")</f>
        <v>MATCH</v>
      </c>
      <c r="E429" s="7">
        <f>IF(F429="None",1,0)</f>
        <v>1</v>
      </c>
      <c r="F429" s="7" t="s">
        <v>17</v>
      </c>
      <c r="G429" s="7">
        <v>0</v>
      </c>
      <c r="H429" s="7">
        <v>0</v>
      </c>
      <c r="I429" s="7">
        <f>IF(AND(E429=0,G429=0),1,0)</f>
        <v>0</v>
      </c>
      <c r="J429" s="7">
        <f>IF(AND(E429=0,H429=0),1,0)</f>
        <v>0</v>
      </c>
      <c r="K429" s="7">
        <f>I429*'05 Methodology'!$B$7</f>
        <v>0</v>
      </c>
      <c r="L429" s="7">
        <f>J429*'05 Methodology'!$B$7</f>
        <v>0</v>
      </c>
      <c r="M429" s="7" t="str">
        <f>IF(G429=1,"FLAG / HOLD","INDEXED")</f>
        <v>INDEXED</v>
      </c>
      <c r="N429" s="1" t="str">
        <f>IF(H429=1,"FLAG / HOLD","INDEXED")</f>
        <v>INDEXED</v>
      </c>
      <c r="O429" s="1" t="s">
        <v>18</v>
      </c>
      <c r="P429" s="1" t="s">
        <v>19</v>
      </c>
      <c r="Q429" s="1"/>
      <c r="R429" s="1"/>
      <c r="S429" s="1"/>
      <c r="T429" s="1"/>
      <c r="U429" s="1"/>
    </row>
    <row r="430" spans="1:21" x14ac:dyDescent="0.2">
      <c r="A430" s="7" t="s">
        <v>450</v>
      </c>
      <c r="B430" s="7">
        <v>8</v>
      </c>
      <c r="C430" s="7">
        <v>8</v>
      </c>
      <c r="D430" s="7" t="str">
        <f>IF(B430=C430,"MATCH","MISMATCH")</f>
        <v>MATCH</v>
      </c>
      <c r="E430" s="7">
        <f>IF(F430="None",1,0)</f>
        <v>1</v>
      </c>
      <c r="F430" s="7" t="s">
        <v>17</v>
      </c>
      <c r="G430" s="7">
        <v>0</v>
      </c>
      <c r="H430" s="7">
        <v>0</v>
      </c>
      <c r="I430" s="7">
        <f>IF(AND(E430=0,G430=0),1,0)</f>
        <v>0</v>
      </c>
      <c r="J430" s="7">
        <f>IF(AND(E430=0,H430=0),1,0)</f>
        <v>0</v>
      </c>
      <c r="K430" s="7">
        <f>I430*'05 Methodology'!$B$7</f>
        <v>0</v>
      </c>
      <c r="L430" s="7">
        <f>J430*'05 Methodology'!$B$7</f>
        <v>0</v>
      </c>
      <c r="M430" s="7" t="str">
        <f>IF(G430=1,"FLAG / HOLD","INDEXED")</f>
        <v>INDEXED</v>
      </c>
      <c r="N430" s="1" t="str">
        <f>IF(H430=1,"FLAG / HOLD","INDEXED")</f>
        <v>INDEXED</v>
      </c>
      <c r="O430" s="1" t="s">
        <v>18</v>
      </c>
      <c r="P430" s="1" t="s">
        <v>19</v>
      </c>
      <c r="Q430" s="1"/>
      <c r="R430" s="1"/>
      <c r="S430" s="1"/>
      <c r="T430" s="1"/>
      <c r="U430" s="1"/>
    </row>
    <row r="431" spans="1:21" x14ac:dyDescent="0.2">
      <c r="A431" s="7" t="s">
        <v>451</v>
      </c>
      <c r="B431" s="7">
        <v>4</v>
      </c>
      <c r="C431" s="7">
        <v>4</v>
      </c>
      <c r="D431" s="7" t="str">
        <f>IF(B431=C431,"MATCH","MISMATCH")</f>
        <v>MATCH</v>
      </c>
      <c r="E431" s="7">
        <f>IF(F431="None",1,0)</f>
        <v>0</v>
      </c>
      <c r="F431" s="7" t="s">
        <v>24</v>
      </c>
      <c r="G431" s="7">
        <v>1</v>
      </c>
      <c r="H431" s="7">
        <v>1</v>
      </c>
      <c r="I431" s="7">
        <f>IF(AND(E431=0,G431=0),1,0)</f>
        <v>0</v>
      </c>
      <c r="J431" s="7">
        <f>IF(AND(E431=0,H431=0),1,0)</f>
        <v>0</v>
      </c>
      <c r="K431" s="7">
        <f>I431*'05 Methodology'!$B$7</f>
        <v>0</v>
      </c>
      <c r="L431" s="7">
        <f>J431*'05 Methodology'!$B$7</f>
        <v>0</v>
      </c>
      <c r="M431" s="7" t="str">
        <f>IF(G431=1,"FLAG / HOLD","INDEXED")</f>
        <v>FLAG / HOLD</v>
      </c>
      <c r="N431" s="1" t="str">
        <f>IF(H431=1,"FLAG / HOLD","INDEXED")</f>
        <v>FLAG / HOLD</v>
      </c>
      <c r="O431" s="1" t="s">
        <v>18</v>
      </c>
      <c r="P431" s="1" t="s">
        <v>25</v>
      </c>
      <c r="Q431" s="1"/>
      <c r="R431" s="1"/>
      <c r="S431" s="1"/>
      <c r="T431" s="1"/>
      <c r="U431" s="1"/>
    </row>
    <row r="432" spans="1:21" x14ac:dyDescent="0.2">
      <c r="A432" s="7" t="s">
        <v>452</v>
      </c>
      <c r="B432" s="7">
        <v>5</v>
      </c>
      <c r="C432" s="7">
        <v>5</v>
      </c>
      <c r="D432" s="7" t="str">
        <f>IF(B432=C432,"MATCH","MISMATCH")</f>
        <v>MATCH</v>
      </c>
      <c r="E432" s="7">
        <f>IF(F432="None",1,0)</f>
        <v>1</v>
      </c>
      <c r="F432" s="7" t="s">
        <v>17</v>
      </c>
      <c r="G432" s="7">
        <v>0</v>
      </c>
      <c r="H432" s="7">
        <v>0</v>
      </c>
      <c r="I432" s="7">
        <f>IF(AND(E432=0,G432=0),1,0)</f>
        <v>0</v>
      </c>
      <c r="J432" s="7">
        <f>IF(AND(E432=0,H432=0),1,0)</f>
        <v>0</v>
      </c>
      <c r="K432" s="7">
        <f>I432*'05 Methodology'!$B$7</f>
        <v>0</v>
      </c>
      <c r="L432" s="7">
        <f>J432*'05 Methodology'!$B$7</f>
        <v>0</v>
      </c>
      <c r="M432" s="7" t="str">
        <f>IF(G432=1,"FLAG / HOLD","INDEXED")</f>
        <v>INDEXED</v>
      </c>
      <c r="N432" s="1" t="str">
        <f>IF(H432=1,"FLAG / HOLD","INDEXED")</f>
        <v>INDEXED</v>
      </c>
      <c r="O432" s="1" t="s">
        <v>18</v>
      </c>
      <c r="P432" s="1" t="s">
        <v>19</v>
      </c>
      <c r="Q432" s="1"/>
      <c r="R432" s="1"/>
      <c r="S432" s="1"/>
      <c r="T432" s="1"/>
      <c r="U432" s="1"/>
    </row>
    <row r="433" spans="1:21" x14ac:dyDescent="0.2">
      <c r="A433" s="7" t="s">
        <v>453</v>
      </c>
      <c r="B433" s="7">
        <v>6</v>
      </c>
      <c r="C433" s="7">
        <v>6</v>
      </c>
      <c r="D433" s="7" t="str">
        <f>IF(B433=C433,"MATCH","MISMATCH")</f>
        <v>MATCH</v>
      </c>
      <c r="E433" s="7">
        <f>IF(F433="None",1,0)</f>
        <v>1</v>
      </c>
      <c r="F433" s="7" t="s">
        <v>17</v>
      </c>
      <c r="G433" s="7">
        <v>0</v>
      </c>
      <c r="H433" s="7">
        <v>0</v>
      </c>
      <c r="I433" s="7">
        <f>IF(AND(E433=0,G433=0),1,0)</f>
        <v>0</v>
      </c>
      <c r="J433" s="7">
        <f>IF(AND(E433=0,H433=0),1,0)</f>
        <v>0</v>
      </c>
      <c r="K433" s="7">
        <f>I433*'05 Methodology'!$B$7</f>
        <v>0</v>
      </c>
      <c r="L433" s="7">
        <f>J433*'05 Methodology'!$B$7</f>
        <v>0</v>
      </c>
      <c r="M433" s="7" t="str">
        <f>IF(G433=1,"FLAG / HOLD","INDEXED")</f>
        <v>INDEXED</v>
      </c>
      <c r="N433" s="1" t="str">
        <f>IF(H433=1,"FLAG / HOLD","INDEXED")</f>
        <v>INDEXED</v>
      </c>
      <c r="O433" s="1" t="s">
        <v>18</v>
      </c>
      <c r="P433" s="1" t="s">
        <v>19</v>
      </c>
      <c r="Q433" s="1"/>
      <c r="R433" s="1"/>
      <c r="S433" s="1"/>
      <c r="T433" s="1"/>
      <c r="U433" s="1"/>
    </row>
    <row r="434" spans="1:21" x14ac:dyDescent="0.2">
      <c r="A434" s="7" t="s">
        <v>454</v>
      </c>
      <c r="B434" s="7">
        <v>7</v>
      </c>
      <c r="C434" s="7">
        <v>7</v>
      </c>
      <c r="D434" s="7" t="str">
        <f>IF(B434=C434,"MATCH","MISMATCH")</f>
        <v>MATCH</v>
      </c>
      <c r="E434" s="7">
        <f>IF(F434="None",1,0)</f>
        <v>1</v>
      </c>
      <c r="F434" s="7" t="s">
        <v>17</v>
      </c>
      <c r="G434" s="7">
        <v>0</v>
      </c>
      <c r="H434" s="7">
        <v>0</v>
      </c>
      <c r="I434" s="7">
        <f>IF(AND(E434=0,G434=0),1,0)</f>
        <v>0</v>
      </c>
      <c r="J434" s="7">
        <f>IF(AND(E434=0,H434=0),1,0)</f>
        <v>0</v>
      </c>
      <c r="K434" s="7">
        <f>I434*'05 Methodology'!$B$7</f>
        <v>0</v>
      </c>
      <c r="L434" s="7">
        <f>J434*'05 Methodology'!$B$7</f>
        <v>0</v>
      </c>
      <c r="M434" s="7" t="str">
        <f>IF(G434=1,"FLAG / HOLD","INDEXED")</f>
        <v>INDEXED</v>
      </c>
      <c r="N434" s="1" t="str">
        <f>IF(H434=1,"FLAG / HOLD","INDEXED")</f>
        <v>INDEXED</v>
      </c>
      <c r="O434" s="1" t="s">
        <v>18</v>
      </c>
      <c r="P434" s="1" t="s">
        <v>19</v>
      </c>
      <c r="Q434" s="1"/>
      <c r="R434" s="1"/>
      <c r="S434" s="1"/>
      <c r="T434" s="1"/>
      <c r="U434" s="1"/>
    </row>
    <row r="435" spans="1:21" x14ac:dyDescent="0.2">
      <c r="A435" s="7" t="s">
        <v>455</v>
      </c>
      <c r="B435" s="7">
        <v>6</v>
      </c>
      <c r="C435" s="7">
        <v>6</v>
      </c>
      <c r="D435" s="7" t="str">
        <f>IF(B435=C435,"MATCH","MISMATCH")</f>
        <v>MATCH</v>
      </c>
      <c r="E435" s="7">
        <f>IF(F435="None",1,0)</f>
        <v>1</v>
      </c>
      <c r="F435" s="7" t="s">
        <v>17</v>
      </c>
      <c r="G435" s="7">
        <v>0</v>
      </c>
      <c r="H435" s="7">
        <v>0</v>
      </c>
      <c r="I435" s="7">
        <f>IF(AND(E435=0,G435=0),1,0)</f>
        <v>0</v>
      </c>
      <c r="J435" s="7">
        <f>IF(AND(E435=0,H435=0),1,0)</f>
        <v>0</v>
      </c>
      <c r="K435" s="7">
        <f>I435*'05 Methodology'!$B$7</f>
        <v>0</v>
      </c>
      <c r="L435" s="7">
        <f>J435*'05 Methodology'!$B$7</f>
        <v>0</v>
      </c>
      <c r="M435" s="7" t="str">
        <f>IF(G435=1,"FLAG / HOLD","INDEXED")</f>
        <v>INDEXED</v>
      </c>
      <c r="N435" s="1" t="str">
        <f>IF(H435=1,"FLAG / HOLD","INDEXED")</f>
        <v>INDEXED</v>
      </c>
      <c r="O435" s="1" t="s">
        <v>18</v>
      </c>
      <c r="P435" s="1" t="s">
        <v>19</v>
      </c>
      <c r="Q435" s="1"/>
      <c r="R435" s="1"/>
      <c r="S435" s="1"/>
      <c r="T435" s="1"/>
      <c r="U435" s="1"/>
    </row>
    <row r="436" spans="1:21" x14ac:dyDescent="0.2">
      <c r="A436" s="7" t="s">
        <v>456</v>
      </c>
      <c r="B436" s="7">
        <v>4</v>
      </c>
      <c r="C436" s="7">
        <v>4</v>
      </c>
      <c r="D436" s="7" t="str">
        <f>IF(B436=C436,"MATCH","MISMATCH")</f>
        <v>MATCH</v>
      </c>
      <c r="E436" s="7">
        <f>IF(F436="None",1,0)</f>
        <v>1</v>
      </c>
      <c r="F436" s="7" t="s">
        <v>17</v>
      </c>
      <c r="G436" s="7">
        <v>0</v>
      </c>
      <c r="H436" s="7">
        <v>0</v>
      </c>
      <c r="I436" s="7">
        <f>IF(AND(E436=0,G436=0),1,0)</f>
        <v>0</v>
      </c>
      <c r="J436" s="7">
        <f>IF(AND(E436=0,H436=0),1,0)</f>
        <v>0</v>
      </c>
      <c r="K436" s="7">
        <f>I436*'05 Methodology'!$B$7</f>
        <v>0</v>
      </c>
      <c r="L436" s="7">
        <f>J436*'05 Methodology'!$B$7</f>
        <v>0</v>
      </c>
      <c r="M436" s="7" t="str">
        <f>IF(G436=1,"FLAG / HOLD","INDEXED")</f>
        <v>INDEXED</v>
      </c>
      <c r="N436" s="1" t="str">
        <f>IF(H436=1,"FLAG / HOLD","INDEXED")</f>
        <v>INDEXED</v>
      </c>
      <c r="O436" s="1" t="s">
        <v>18</v>
      </c>
      <c r="P436" s="1" t="s">
        <v>19</v>
      </c>
      <c r="Q436" s="1"/>
      <c r="R436" s="1"/>
      <c r="S436" s="1"/>
      <c r="T436" s="1"/>
      <c r="U436" s="1"/>
    </row>
    <row r="437" spans="1:21" x14ac:dyDescent="0.2">
      <c r="A437" s="7" t="s">
        <v>457</v>
      </c>
      <c r="B437" s="7">
        <v>5</v>
      </c>
      <c r="C437" s="7">
        <v>5</v>
      </c>
      <c r="D437" s="7" t="str">
        <f>IF(B437=C437,"MATCH","MISMATCH")</f>
        <v>MATCH</v>
      </c>
      <c r="E437" s="7">
        <f>IF(F437="None",1,0)</f>
        <v>1</v>
      </c>
      <c r="F437" s="7" t="s">
        <v>17</v>
      </c>
      <c r="G437" s="7">
        <v>0</v>
      </c>
      <c r="H437" s="7">
        <v>0</v>
      </c>
      <c r="I437" s="7">
        <f>IF(AND(E437=0,G437=0),1,0)</f>
        <v>0</v>
      </c>
      <c r="J437" s="7">
        <f>IF(AND(E437=0,H437=0),1,0)</f>
        <v>0</v>
      </c>
      <c r="K437" s="7">
        <f>I437*'05 Methodology'!$B$7</f>
        <v>0</v>
      </c>
      <c r="L437" s="7">
        <f>J437*'05 Methodology'!$B$7</f>
        <v>0</v>
      </c>
      <c r="M437" s="7" t="str">
        <f>IF(G437=1,"FLAG / HOLD","INDEXED")</f>
        <v>INDEXED</v>
      </c>
      <c r="N437" s="1" t="str">
        <f>IF(H437=1,"FLAG / HOLD","INDEXED")</f>
        <v>INDEXED</v>
      </c>
      <c r="O437" s="1" t="s">
        <v>18</v>
      </c>
      <c r="P437" s="1" t="s">
        <v>19</v>
      </c>
      <c r="Q437" s="1"/>
      <c r="R437" s="1"/>
      <c r="S437" s="1"/>
      <c r="T437" s="1"/>
      <c r="U437" s="1"/>
    </row>
    <row r="438" spans="1:21" x14ac:dyDescent="0.2">
      <c r="A438" s="7" t="s">
        <v>458</v>
      </c>
      <c r="B438" s="7">
        <v>6</v>
      </c>
      <c r="C438" s="7">
        <v>5</v>
      </c>
      <c r="D438" s="7" t="str">
        <f>IF(B438=C438,"MATCH","MISMATCH")</f>
        <v>MISMATCH</v>
      </c>
      <c r="E438" s="7">
        <f>IF(F438="None",1,0)</f>
        <v>0</v>
      </c>
      <c r="F438" s="7" t="s">
        <v>38</v>
      </c>
      <c r="G438" s="7">
        <v>1</v>
      </c>
      <c r="H438" s="7">
        <v>1</v>
      </c>
      <c r="I438" s="7">
        <f>IF(AND(E438=0,G438=0),1,0)</f>
        <v>0</v>
      </c>
      <c r="J438" s="7">
        <f>IF(AND(E438=0,H438=0),1,0)</f>
        <v>0</v>
      </c>
      <c r="K438" s="7">
        <f>I438*'05 Methodology'!$B$7</f>
        <v>0</v>
      </c>
      <c r="L438" s="7">
        <f>J438*'05 Methodology'!$B$7</f>
        <v>0</v>
      </c>
      <c r="M438" s="7" t="str">
        <f>IF(G438=1,"FLAG / HOLD","INDEXED")</f>
        <v>FLAG / HOLD</v>
      </c>
      <c r="N438" s="1" t="str">
        <f>IF(H438=1,"FLAG / HOLD","INDEXED")</f>
        <v>FLAG / HOLD</v>
      </c>
      <c r="O438" s="1" t="s">
        <v>18</v>
      </c>
      <c r="P438" s="1" t="s">
        <v>19</v>
      </c>
      <c r="Q438" s="1"/>
      <c r="R438" s="1"/>
      <c r="S438" s="1"/>
      <c r="T438" s="1"/>
      <c r="U438" s="1"/>
    </row>
    <row r="439" spans="1:21" x14ac:dyDescent="0.2">
      <c r="A439" s="7" t="s">
        <v>459</v>
      </c>
      <c r="B439" s="7">
        <v>7</v>
      </c>
      <c r="C439" s="7">
        <v>7</v>
      </c>
      <c r="D439" s="7" t="str">
        <f>IF(B439=C439,"MATCH","MISMATCH")</f>
        <v>MATCH</v>
      </c>
      <c r="E439" s="7">
        <f>IF(F439="None",1,0)</f>
        <v>1</v>
      </c>
      <c r="F439" s="7" t="s">
        <v>17</v>
      </c>
      <c r="G439" s="7">
        <v>0</v>
      </c>
      <c r="H439" s="7">
        <v>0</v>
      </c>
      <c r="I439" s="7">
        <f>IF(AND(E439=0,G439=0),1,0)</f>
        <v>0</v>
      </c>
      <c r="J439" s="7">
        <f>IF(AND(E439=0,H439=0),1,0)</f>
        <v>0</v>
      </c>
      <c r="K439" s="7">
        <f>I439*'05 Methodology'!$B$7</f>
        <v>0</v>
      </c>
      <c r="L439" s="7">
        <f>J439*'05 Methodology'!$B$7</f>
        <v>0</v>
      </c>
      <c r="M439" s="7" t="str">
        <f>IF(G439=1,"FLAG / HOLD","INDEXED")</f>
        <v>INDEXED</v>
      </c>
      <c r="N439" s="1" t="str">
        <f>IF(H439=1,"FLAG / HOLD","INDEXED")</f>
        <v>INDEXED</v>
      </c>
      <c r="O439" s="1" t="s">
        <v>18</v>
      </c>
      <c r="P439" s="1" t="s">
        <v>19</v>
      </c>
      <c r="Q439" s="1"/>
      <c r="R439" s="1"/>
      <c r="S439" s="1"/>
      <c r="T439" s="1"/>
      <c r="U439" s="1"/>
    </row>
    <row r="440" spans="1:21" x14ac:dyDescent="0.2">
      <c r="A440" s="7" t="s">
        <v>460</v>
      </c>
      <c r="B440" s="7">
        <v>8</v>
      </c>
      <c r="C440" s="7">
        <v>8</v>
      </c>
      <c r="D440" s="7" t="str">
        <f>IF(B440=C440,"MATCH","MISMATCH")</f>
        <v>MATCH</v>
      </c>
      <c r="E440" s="7">
        <f>IF(F440="None",1,0)</f>
        <v>1</v>
      </c>
      <c r="F440" s="7" t="s">
        <v>17</v>
      </c>
      <c r="G440" s="7">
        <v>0</v>
      </c>
      <c r="H440" s="7">
        <v>0</v>
      </c>
      <c r="I440" s="7">
        <f>IF(AND(E440=0,G440=0),1,0)</f>
        <v>0</v>
      </c>
      <c r="J440" s="7">
        <f>IF(AND(E440=0,H440=0),1,0)</f>
        <v>0</v>
      </c>
      <c r="K440" s="7">
        <f>I440*'05 Methodology'!$B$7</f>
        <v>0</v>
      </c>
      <c r="L440" s="7">
        <f>J440*'05 Methodology'!$B$7</f>
        <v>0</v>
      </c>
      <c r="M440" s="7" t="str">
        <f>IF(G440=1,"FLAG / HOLD","INDEXED")</f>
        <v>INDEXED</v>
      </c>
      <c r="N440" s="1" t="str">
        <f>IF(H440=1,"FLAG / HOLD","INDEXED")</f>
        <v>INDEXED</v>
      </c>
      <c r="O440" s="1" t="s">
        <v>18</v>
      </c>
      <c r="P440" s="1" t="s">
        <v>19</v>
      </c>
      <c r="Q440" s="1"/>
      <c r="R440" s="1"/>
      <c r="S440" s="1"/>
      <c r="T440" s="1"/>
      <c r="U440" s="1"/>
    </row>
    <row r="441" spans="1:21" x14ac:dyDescent="0.2">
      <c r="A441" s="7" t="s">
        <v>461</v>
      </c>
      <c r="B441" s="7">
        <v>4</v>
      </c>
      <c r="C441" s="7">
        <v>4</v>
      </c>
      <c r="D441" s="7" t="str">
        <f>IF(B441=C441,"MATCH","MISMATCH")</f>
        <v>MATCH</v>
      </c>
      <c r="E441" s="7">
        <f>IF(F441="None",1,0)</f>
        <v>1</v>
      </c>
      <c r="F441" s="7" t="s">
        <v>17</v>
      </c>
      <c r="G441" s="7">
        <v>0</v>
      </c>
      <c r="H441" s="7">
        <v>0</v>
      </c>
      <c r="I441" s="7">
        <f>IF(AND(E441=0,G441=0),1,0)</f>
        <v>0</v>
      </c>
      <c r="J441" s="7">
        <f>IF(AND(E441=0,H441=0),1,0)</f>
        <v>0</v>
      </c>
      <c r="K441" s="7">
        <f>I441*'05 Methodology'!$B$7</f>
        <v>0</v>
      </c>
      <c r="L441" s="7">
        <f>J441*'05 Methodology'!$B$7</f>
        <v>0</v>
      </c>
      <c r="M441" s="7" t="str">
        <f>IF(G441=1,"FLAG / HOLD","INDEXED")</f>
        <v>INDEXED</v>
      </c>
      <c r="N441" s="1" t="str">
        <f>IF(H441=1,"FLAG / HOLD","INDEXED")</f>
        <v>INDEXED</v>
      </c>
      <c r="O441" s="1" t="s">
        <v>18</v>
      </c>
      <c r="P441" s="1" t="s">
        <v>19</v>
      </c>
      <c r="Q441" s="1"/>
      <c r="R441" s="1"/>
      <c r="S441" s="1"/>
      <c r="T441" s="1"/>
      <c r="U441" s="1"/>
    </row>
    <row r="442" spans="1:21" x14ac:dyDescent="0.2">
      <c r="A442" s="7" t="s">
        <v>462</v>
      </c>
      <c r="B442" s="7">
        <v>6</v>
      </c>
      <c r="C442" s="7">
        <v>6</v>
      </c>
      <c r="D442" s="7" t="str">
        <f>IF(B442=C442,"MATCH","MISMATCH")</f>
        <v>MATCH</v>
      </c>
      <c r="E442" s="7">
        <f>IF(F442="None",1,0)</f>
        <v>1</v>
      </c>
      <c r="F442" s="7" t="s">
        <v>17</v>
      </c>
      <c r="G442" s="7">
        <v>0</v>
      </c>
      <c r="H442" s="7">
        <v>0</v>
      </c>
      <c r="I442" s="7">
        <f>IF(AND(E442=0,G442=0),1,0)</f>
        <v>0</v>
      </c>
      <c r="J442" s="7">
        <f>IF(AND(E442=0,H442=0),1,0)</f>
        <v>0</v>
      </c>
      <c r="K442" s="7">
        <f>I442*'05 Methodology'!$B$7</f>
        <v>0</v>
      </c>
      <c r="L442" s="7">
        <f>J442*'05 Methodology'!$B$7</f>
        <v>0</v>
      </c>
      <c r="M442" s="7" t="str">
        <f>IF(G442=1,"FLAG / HOLD","INDEXED")</f>
        <v>INDEXED</v>
      </c>
      <c r="N442" s="1" t="str">
        <f>IF(H442=1,"FLAG / HOLD","INDEXED")</f>
        <v>INDEXED</v>
      </c>
      <c r="O442" s="1" t="s">
        <v>18</v>
      </c>
      <c r="P442" s="1" t="s">
        <v>19</v>
      </c>
      <c r="Q442" s="1"/>
      <c r="R442" s="1"/>
      <c r="S442" s="1"/>
      <c r="T442" s="1"/>
      <c r="U442" s="1"/>
    </row>
    <row r="443" spans="1:21" x14ac:dyDescent="0.2">
      <c r="A443" s="7" t="s">
        <v>463</v>
      </c>
      <c r="B443" s="7">
        <v>6</v>
      </c>
      <c r="C443" s="7">
        <v>6</v>
      </c>
      <c r="D443" s="7" t="str">
        <f>IF(B443=C443,"MATCH","MISMATCH")</f>
        <v>MATCH</v>
      </c>
      <c r="E443" s="7">
        <f>IF(F443="None",1,0)</f>
        <v>1</v>
      </c>
      <c r="F443" s="7" t="s">
        <v>17</v>
      </c>
      <c r="G443" s="7">
        <v>0</v>
      </c>
      <c r="H443" s="7">
        <v>0</v>
      </c>
      <c r="I443" s="7">
        <f>IF(AND(E443=0,G443=0),1,0)</f>
        <v>0</v>
      </c>
      <c r="J443" s="7">
        <f>IF(AND(E443=0,H443=0),1,0)</f>
        <v>0</v>
      </c>
      <c r="K443" s="7">
        <f>I443*'05 Methodology'!$B$7</f>
        <v>0</v>
      </c>
      <c r="L443" s="7">
        <f>J443*'05 Methodology'!$B$7</f>
        <v>0</v>
      </c>
      <c r="M443" s="7" t="str">
        <f>IF(G443=1,"FLAG / HOLD","INDEXED")</f>
        <v>INDEXED</v>
      </c>
      <c r="N443" s="1" t="str">
        <f>IF(H443=1,"FLAG / HOLD","INDEXED")</f>
        <v>INDEXED</v>
      </c>
      <c r="O443" s="1" t="s">
        <v>18</v>
      </c>
      <c r="P443" s="1" t="s">
        <v>19</v>
      </c>
      <c r="Q443" s="1"/>
      <c r="R443" s="1"/>
      <c r="S443" s="1"/>
      <c r="T443" s="1"/>
      <c r="U443" s="1"/>
    </row>
    <row r="444" spans="1:21" x14ac:dyDescent="0.2">
      <c r="A444" s="7" t="s">
        <v>464</v>
      </c>
      <c r="B444" s="7">
        <v>7</v>
      </c>
      <c r="C444" s="7">
        <v>7</v>
      </c>
      <c r="D444" s="7" t="str">
        <f>IF(B444=C444,"MATCH","MISMATCH")</f>
        <v>MATCH</v>
      </c>
      <c r="E444" s="7">
        <f>IF(F444="None",1,0)</f>
        <v>1</v>
      </c>
      <c r="F444" s="7" t="s">
        <v>17</v>
      </c>
      <c r="G444" s="7">
        <v>0</v>
      </c>
      <c r="H444" s="7">
        <v>0</v>
      </c>
      <c r="I444" s="7">
        <f>IF(AND(E444=0,G444=0),1,0)</f>
        <v>0</v>
      </c>
      <c r="J444" s="7">
        <f>IF(AND(E444=0,H444=0),1,0)</f>
        <v>0</v>
      </c>
      <c r="K444" s="7">
        <f>I444*'05 Methodology'!$B$7</f>
        <v>0</v>
      </c>
      <c r="L444" s="7">
        <f>J444*'05 Methodology'!$B$7</f>
        <v>0</v>
      </c>
      <c r="M444" s="7" t="str">
        <f>IF(G444=1,"FLAG / HOLD","INDEXED")</f>
        <v>INDEXED</v>
      </c>
      <c r="N444" s="1" t="str">
        <f>IF(H444=1,"FLAG / HOLD","INDEXED")</f>
        <v>INDEXED</v>
      </c>
      <c r="O444" s="1" t="s">
        <v>18</v>
      </c>
      <c r="P444" s="1" t="s">
        <v>19</v>
      </c>
      <c r="Q444" s="1"/>
      <c r="R444" s="1"/>
      <c r="S444" s="1"/>
      <c r="T444" s="1"/>
      <c r="U444" s="1"/>
    </row>
    <row r="445" spans="1:21" x14ac:dyDescent="0.2">
      <c r="A445" s="7" t="s">
        <v>465</v>
      </c>
      <c r="B445" s="7">
        <v>8</v>
      </c>
      <c r="C445" s="7">
        <v>7</v>
      </c>
      <c r="D445" s="7" t="str">
        <f>IF(B445=C445,"MATCH","MISMATCH")</f>
        <v>MISMATCH</v>
      </c>
      <c r="E445" s="7">
        <f>IF(F445="None",1,0)</f>
        <v>0</v>
      </c>
      <c r="F445" s="7" t="s">
        <v>38</v>
      </c>
      <c r="G445" s="7">
        <v>0</v>
      </c>
      <c r="H445" s="7">
        <v>0</v>
      </c>
      <c r="I445" s="7">
        <f>IF(AND(E445=0,G445=0),1,0)</f>
        <v>1</v>
      </c>
      <c r="J445" s="7">
        <f>IF(AND(E445=0,H445=0),1,0)</f>
        <v>1</v>
      </c>
      <c r="K445" s="7">
        <f>I445*'05 Methodology'!$B$7</f>
        <v>20</v>
      </c>
      <c r="L445" s="7">
        <f>J445*'05 Methodology'!$B$7</f>
        <v>20</v>
      </c>
      <c r="M445" s="7" t="str">
        <f>IF(G445=1,"FLAG / HOLD","INDEXED")</f>
        <v>INDEXED</v>
      </c>
      <c r="N445" s="1" t="str">
        <f>IF(H445=1,"FLAG / HOLD","INDEXED")</f>
        <v>INDEXED</v>
      </c>
      <c r="O445" s="1" t="s">
        <v>18</v>
      </c>
      <c r="P445" s="1" t="s">
        <v>19</v>
      </c>
      <c r="Q445" s="1"/>
      <c r="R445" s="1"/>
      <c r="S445" s="1"/>
      <c r="T445" s="1"/>
      <c r="U445" s="1"/>
    </row>
    <row r="446" spans="1:21" x14ac:dyDescent="0.2">
      <c r="A446" s="7" t="s">
        <v>466</v>
      </c>
      <c r="B446" s="7">
        <v>4</v>
      </c>
      <c r="C446" s="7">
        <v>4</v>
      </c>
      <c r="D446" s="7" t="str">
        <f>IF(B446=C446,"MATCH","MISMATCH")</f>
        <v>MATCH</v>
      </c>
      <c r="E446" s="7">
        <f>IF(F446="None",1,0)</f>
        <v>1</v>
      </c>
      <c r="F446" s="7" t="s">
        <v>17</v>
      </c>
      <c r="G446" s="7">
        <v>0</v>
      </c>
      <c r="H446" s="7">
        <v>0</v>
      </c>
      <c r="I446" s="7">
        <f>IF(AND(E446=0,G446=0),1,0)</f>
        <v>0</v>
      </c>
      <c r="J446" s="7">
        <f>IF(AND(E446=0,H446=0),1,0)</f>
        <v>0</v>
      </c>
      <c r="K446" s="7">
        <f>I446*'05 Methodology'!$B$7</f>
        <v>0</v>
      </c>
      <c r="L446" s="7">
        <f>J446*'05 Methodology'!$B$7</f>
        <v>0</v>
      </c>
      <c r="M446" s="7" t="str">
        <f>IF(G446=1,"FLAG / HOLD","INDEXED")</f>
        <v>INDEXED</v>
      </c>
      <c r="N446" s="1" t="str">
        <f>IF(H446=1,"FLAG / HOLD","INDEXED")</f>
        <v>INDEXED</v>
      </c>
      <c r="O446" s="1" t="s">
        <v>18</v>
      </c>
      <c r="P446" s="1" t="s">
        <v>19</v>
      </c>
      <c r="Q446" s="1"/>
      <c r="R446" s="1"/>
      <c r="S446" s="1"/>
      <c r="T446" s="1"/>
      <c r="U446" s="1"/>
    </row>
    <row r="447" spans="1:21" x14ac:dyDescent="0.2">
      <c r="A447" s="7" t="s">
        <v>467</v>
      </c>
      <c r="B447" s="7">
        <v>5</v>
      </c>
      <c r="C447" s="7">
        <v>5</v>
      </c>
      <c r="D447" s="7" t="str">
        <f>IF(B447=C447,"MATCH","MISMATCH")</f>
        <v>MATCH</v>
      </c>
      <c r="E447" s="7">
        <f>IF(F447="None",1,0)</f>
        <v>1</v>
      </c>
      <c r="F447" s="7" t="s">
        <v>17</v>
      </c>
      <c r="G447" s="7">
        <v>0</v>
      </c>
      <c r="H447" s="7">
        <v>0</v>
      </c>
      <c r="I447" s="7">
        <f>IF(AND(E447=0,G447=0),1,0)</f>
        <v>0</v>
      </c>
      <c r="J447" s="7">
        <f>IF(AND(E447=0,H447=0),1,0)</f>
        <v>0</v>
      </c>
      <c r="K447" s="7">
        <f>I447*'05 Methodology'!$B$7</f>
        <v>0</v>
      </c>
      <c r="L447" s="7">
        <f>J447*'05 Methodology'!$B$7</f>
        <v>0</v>
      </c>
      <c r="M447" s="7" t="str">
        <f>IF(G447=1,"FLAG / HOLD","INDEXED")</f>
        <v>INDEXED</v>
      </c>
      <c r="N447" s="1" t="str">
        <f>IF(H447=1,"FLAG / HOLD","INDEXED")</f>
        <v>INDEXED</v>
      </c>
      <c r="O447" s="1" t="s">
        <v>18</v>
      </c>
      <c r="P447" s="1" t="s">
        <v>19</v>
      </c>
      <c r="Q447" s="1"/>
      <c r="R447" s="1"/>
      <c r="S447" s="1"/>
      <c r="T447" s="1"/>
      <c r="U447" s="1"/>
    </row>
    <row r="448" spans="1:21" x14ac:dyDescent="0.2">
      <c r="A448" s="7" t="s">
        <v>468</v>
      </c>
      <c r="B448" s="7">
        <v>6</v>
      </c>
      <c r="C448" s="7">
        <v>6</v>
      </c>
      <c r="D448" s="7" t="str">
        <f>IF(B448=C448,"MATCH","MISMATCH")</f>
        <v>MATCH</v>
      </c>
      <c r="E448" s="7">
        <f>IF(F448="None",1,0)</f>
        <v>1</v>
      </c>
      <c r="F448" s="7" t="s">
        <v>17</v>
      </c>
      <c r="G448" s="7">
        <v>0</v>
      </c>
      <c r="H448" s="7">
        <v>0</v>
      </c>
      <c r="I448" s="7">
        <f>IF(AND(E448=0,G448=0),1,0)</f>
        <v>0</v>
      </c>
      <c r="J448" s="7">
        <f>IF(AND(E448=0,H448=0),1,0)</f>
        <v>0</v>
      </c>
      <c r="K448" s="7">
        <f>I448*'05 Methodology'!$B$7</f>
        <v>0</v>
      </c>
      <c r="L448" s="7">
        <f>J448*'05 Methodology'!$B$7</f>
        <v>0</v>
      </c>
      <c r="M448" s="7" t="str">
        <f>IF(G448=1,"FLAG / HOLD","INDEXED")</f>
        <v>INDEXED</v>
      </c>
      <c r="N448" s="1" t="str">
        <f>IF(H448=1,"FLAG / HOLD","INDEXED")</f>
        <v>INDEXED</v>
      </c>
      <c r="O448" s="1" t="s">
        <v>18</v>
      </c>
      <c r="P448" s="1" t="s">
        <v>19</v>
      </c>
      <c r="Q448" s="1"/>
      <c r="R448" s="1"/>
      <c r="S448" s="1"/>
      <c r="T448" s="1"/>
      <c r="U448" s="1"/>
    </row>
    <row r="449" spans="1:21" x14ac:dyDescent="0.2">
      <c r="A449" s="7" t="s">
        <v>469</v>
      </c>
      <c r="B449" s="7">
        <v>6</v>
      </c>
      <c r="C449" s="7">
        <v>6</v>
      </c>
      <c r="D449" s="7" t="str">
        <f>IF(B449=C449,"MATCH","MISMATCH")</f>
        <v>MATCH</v>
      </c>
      <c r="E449" s="7">
        <f>IF(F449="None",1,0)</f>
        <v>1</v>
      </c>
      <c r="F449" s="7" t="s">
        <v>17</v>
      </c>
      <c r="G449" s="7">
        <v>0</v>
      </c>
      <c r="H449" s="7">
        <v>0</v>
      </c>
      <c r="I449" s="7">
        <f>IF(AND(E449=0,G449=0),1,0)</f>
        <v>0</v>
      </c>
      <c r="J449" s="7">
        <f>IF(AND(E449=0,H449=0),1,0)</f>
        <v>0</v>
      </c>
      <c r="K449" s="7">
        <f>I449*'05 Methodology'!$B$7</f>
        <v>0</v>
      </c>
      <c r="L449" s="7">
        <f>J449*'05 Methodology'!$B$7</f>
        <v>0</v>
      </c>
      <c r="M449" s="7" t="str">
        <f>IF(G449=1,"FLAG / HOLD","INDEXED")</f>
        <v>INDEXED</v>
      </c>
      <c r="N449" s="1" t="str">
        <f>IF(H449=1,"FLAG / HOLD","INDEXED")</f>
        <v>INDEXED</v>
      </c>
      <c r="O449" s="1" t="s">
        <v>18</v>
      </c>
      <c r="P449" s="1" t="s">
        <v>19</v>
      </c>
      <c r="Q449" s="1"/>
      <c r="R449" s="1"/>
      <c r="S449" s="1"/>
      <c r="T449" s="1"/>
      <c r="U449" s="1"/>
    </row>
    <row r="450" spans="1:21" x14ac:dyDescent="0.2">
      <c r="A450" s="7" t="s">
        <v>470</v>
      </c>
      <c r="B450" s="7">
        <v>8</v>
      </c>
      <c r="C450" s="7">
        <v>8</v>
      </c>
      <c r="D450" s="7" t="str">
        <f>IF(B450=C450,"MATCH","MISMATCH")</f>
        <v>MATCH</v>
      </c>
      <c r="E450" s="7">
        <f>IF(F450="None",1,0)</f>
        <v>1</v>
      </c>
      <c r="F450" s="7" t="s">
        <v>17</v>
      </c>
      <c r="G450" s="7">
        <v>0</v>
      </c>
      <c r="H450" s="7">
        <v>0</v>
      </c>
      <c r="I450" s="7">
        <f>IF(AND(E450=0,G450=0),1,0)</f>
        <v>0</v>
      </c>
      <c r="J450" s="7">
        <f>IF(AND(E450=0,H450=0),1,0)</f>
        <v>0</v>
      </c>
      <c r="K450" s="7">
        <f>I450*'05 Methodology'!$B$7</f>
        <v>0</v>
      </c>
      <c r="L450" s="7">
        <f>J450*'05 Methodology'!$B$7</f>
        <v>0</v>
      </c>
      <c r="M450" s="7" t="str">
        <f>IF(G450=1,"FLAG / HOLD","INDEXED")</f>
        <v>INDEXED</v>
      </c>
      <c r="N450" s="1" t="str">
        <f>IF(H450=1,"FLAG / HOLD","INDEXED")</f>
        <v>INDEXED</v>
      </c>
      <c r="O450" s="1" t="s">
        <v>18</v>
      </c>
      <c r="P450" s="1" t="s">
        <v>19</v>
      </c>
      <c r="Q450" s="1"/>
      <c r="R450" s="1"/>
      <c r="S450" s="1"/>
      <c r="T450" s="1"/>
      <c r="U450" s="1"/>
    </row>
    <row r="451" spans="1:21" x14ac:dyDescent="0.2">
      <c r="A451" s="7" t="s">
        <v>471</v>
      </c>
      <c r="B451" s="7">
        <v>4</v>
      </c>
      <c r="C451" s="7">
        <v>4</v>
      </c>
      <c r="D451" s="7" t="str">
        <f>IF(B451=C451,"MATCH","MISMATCH")</f>
        <v>MATCH</v>
      </c>
      <c r="E451" s="7">
        <f>IF(F451="None",1,0)</f>
        <v>1</v>
      </c>
      <c r="F451" s="7" t="s">
        <v>17</v>
      </c>
      <c r="G451" s="7">
        <v>0</v>
      </c>
      <c r="H451" s="7">
        <v>0</v>
      </c>
      <c r="I451" s="7">
        <f>IF(AND(E451=0,G451=0),1,0)</f>
        <v>0</v>
      </c>
      <c r="J451" s="7">
        <f>IF(AND(E451=0,H451=0),1,0)</f>
        <v>0</v>
      </c>
      <c r="K451" s="7">
        <f>I451*'05 Methodology'!$B$7</f>
        <v>0</v>
      </c>
      <c r="L451" s="7">
        <f>J451*'05 Methodology'!$B$7</f>
        <v>0</v>
      </c>
      <c r="M451" s="7" t="str">
        <f>IF(G451=1,"FLAG / HOLD","INDEXED")</f>
        <v>INDEXED</v>
      </c>
      <c r="N451" s="1" t="str">
        <f>IF(H451=1,"FLAG / HOLD","INDEXED")</f>
        <v>INDEXED</v>
      </c>
      <c r="O451" s="1" t="s">
        <v>18</v>
      </c>
      <c r="P451" s="1" t="s">
        <v>19</v>
      </c>
      <c r="Q451" s="1"/>
      <c r="R451" s="1"/>
      <c r="S451" s="1"/>
      <c r="T451" s="1"/>
      <c r="U451" s="1"/>
    </row>
    <row r="452" spans="1:21" x14ac:dyDescent="0.2">
      <c r="A452" s="7" t="s">
        <v>472</v>
      </c>
      <c r="B452" s="7">
        <v>5</v>
      </c>
      <c r="C452" s="7">
        <v>5</v>
      </c>
      <c r="D452" s="7" t="str">
        <f>IF(B452=C452,"MATCH","MISMATCH")</f>
        <v>MATCH</v>
      </c>
      <c r="E452" s="7">
        <f>IF(F452="None",1,0)</f>
        <v>1</v>
      </c>
      <c r="F452" s="7" t="s">
        <v>17</v>
      </c>
      <c r="G452" s="7">
        <v>0</v>
      </c>
      <c r="H452" s="7">
        <v>0</v>
      </c>
      <c r="I452" s="7">
        <f>IF(AND(E452=0,G452=0),1,0)</f>
        <v>0</v>
      </c>
      <c r="J452" s="7">
        <f>IF(AND(E452=0,H452=0),1,0)</f>
        <v>0</v>
      </c>
      <c r="K452" s="7">
        <f>I452*'05 Methodology'!$B$7</f>
        <v>0</v>
      </c>
      <c r="L452" s="7">
        <f>J452*'05 Methodology'!$B$7</f>
        <v>0</v>
      </c>
      <c r="M452" s="7" t="str">
        <f>IF(G452=1,"FLAG / HOLD","INDEXED")</f>
        <v>INDEXED</v>
      </c>
      <c r="N452" s="1" t="str">
        <f>IF(H452=1,"FLAG / HOLD","INDEXED")</f>
        <v>INDEXED</v>
      </c>
      <c r="O452" s="1" t="s">
        <v>18</v>
      </c>
      <c r="P452" s="1" t="s">
        <v>19</v>
      </c>
      <c r="Q452" s="1"/>
      <c r="R452" s="1"/>
      <c r="S452" s="1"/>
      <c r="T452" s="1"/>
      <c r="U452" s="1"/>
    </row>
    <row r="453" spans="1:21" x14ac:dyDescent="0.2">
      <c r="A453" s="7" t="s">
        <v>473</v>
      </c>
      <c r="B453" s="7">
        <v>6</v>
      </c>
      <c r="C453" s="7">
        <v>6</v>
      </c>
      <c r="D453" s="7" t="str">
        <f>IF(B453=C453,"MATCH","MISMATCH")</f>
        <v>MATCH</v>
      </c>
      <c r="E453" s="7">
        <f>IF(F453="None",1,0)</f>
        <v>1</v>
      </c>
      <c r="F453" s="7" t="s">
        <v>17</v>
      </c>
      <c r="G453" s="7">
        <v>0</v>
      </c>
      <c r="H453" s="7">
        <v>0</v>
      </c>
      <c r="I453" s="7">
        <f>IF(AND(E453=0,G453=0),1,0)</f>
        <v>0</v>
      </c>
      <c r="J453" s="7">
        <f>IF(AND(E453=0,H453=0),1,0)</f>
        <v>0</v>
      </c>
      <c r="K453" s="7">
        <f>I453*'05 Methodology'!$B$7</f>
        <v>0</v>
      </c>
      <c r="L453" s="7">
        <f>J453*'05 Methodology'!$B$7</f>
        <v>0</v>
      </c>
      <c r="M453" s="7" t="str">
        <f>IF(G453=1,"FLAG / HOLD","INDEXED")</f>
        <v>INDEXED</v>
      </c>
      <c r="N453" s="1" t="str">
        <f>IF(H453=1,"FLAG / HOLD","INDEXED")</f>
        <v>INDEXED</v>
      </c>
      <c r="O453" s="1" t="s">
        <v>18</v>
      </c>
      <c r="P453" s="1" t="s">
        <v>19</v>
      </c>
      <c r="Q453" s="1"/>
      <c r="R453" s="1"/>
      <c r="S453" s="1"/>
      <c r="T453" s="1"/>
      <c r="U453" s="1"/>
    </row>
    <row r="454" spans="1:21" x14ac:dyDescent="0.2">
      <c r="A454" s="7" t="s">
        <v>474</v>
      </c>
      <c r="B454" s="7">
        <v>7</v>
      </c>
      <c r="C454" s="7">
        <v>7</v>
      </c>
      <c r="D454" s="7" t="str">
        <f>IF(B454=C454,"MATCH","MISMATCH")</f>
        <v>MATCH</v>
      </c>
      <c r="E454" s="7">
        <f>IF(F454="None",1,0)</f>
        <v>1</v>
      </c>
      <c r="F454" s="7" t="s">
        <v>17</v>
      </c>
      <c r="G454" s="7">
        <v>0</v>
      </c>
      <c r="H454" s="7">
        <v>0</v>
      </c>
      <c r="I454" s="7">
        <f>IF(AND(E454=0,G454=0),1,0)</f>
        <v>0</v>
      </c>
      <c r="J454" s="7">
        <f>IF(AND(E454=0,H454=0),1,0)</f>
        <v>0</v>
      </c>
      <c r="K454" s="7">
        <f>I454*'05 Methodology'!$B$7</f>
        <v>0</v>
      </c>
      <c r="L454" s="7">
        <f>J454*'05 Methodology'!$B$7</f>
        <v>0</v>
      </c>
      <c r="M454" s="7" t="str">
        <f>IF(G454=1,"FLAG / HOLD","INDEXED")</f>
        <v>INDEXED</v>
      </c>
      <c r="N454" s="1" t="str">
        <f>IF(H454=1,"FLAG / HOLD","INDEXED")</f>
        <v>INDEXED</v>
      </c>
      <c r="O454" s="1" t="s">
        <v>18</v>
      </c>
      <c r="P454" s="1" t="s">
        <v>19</v>
      </c>
      <c r="Q454" s="1"/>
      <c r="R454" s="1"/>
      <c r="S454" s="1"/>
      <c r="T454" s="1"/>
      <c r="U454" s="1"/>
    </row>
    <row r="455" spans="1:21" x14ac:dyDescent="0.2">
      <c r="A455" s="7" t="s">
        <v>475</v>
      </c>
      <c r="B455" s="7">
        <v>8</v>
      </c>
      <c r="C455" s="7">
        <v>8</v>
      </c>
      <c r="D455" s="7" t="str">
        <f>IF(B455=C455,"MATCH","MISMATCH")</f>
        <v>MATCH</v>
      </c>
      <c r="E455" s="7">
        <f>IF(F455="None",1,0)</f>
        <v>1</v>
      </c>
      <c r="F455" s="7" t="s">
        <v>17</v>
      </c>
      <c r="G455" s="7">
        <v>0</v>
      </c>
      <c r="H455" s="7">
        <v>0</v>
      </c>
      <c r="I455" s="7">
        <f>IF(AND(E455=0,G455=0),1,0)</f>
        <v>0</v>
      </c>
      <c r="J455" s="7">
        <f>IF(AND(E455=0,H455=0),1,0)</f>
        <v>0</v>
      </c>
      <c r="K455" s="7">
        <f>I455*'05 Methodology'!$B$7</f>
        <v>0</v>
      </c>
      <c r="L455" s="7">
        <f>J455*'05 Methodology'!$B$7</f>
        <v>0</v>
      </c>
      <c r="M455" s="7" t="str">
        <f>IF(G455=1,"FLAG / HOLD","INDEXED")</f>
        <v>INDEXED</v>
      </c>
      <c r="N455" s="1" t="str">
        <f>IF(H455=1,"FLAG / HOLD","INDEXED")</f>
        <v>INDEXED</v>
      </c>
      <c r="O455" s="1" t="s">
        <v>18</v>
      </c>
      <c r="P455" s="1" t="s">
        <v>19</v>
      </c>
      <c r="Q455" s="1"/>
      <c r="R455" s="1"/>
      <c r="S455" s="1"/>
      <c r="T455" s="1"/>
      <c r="U455" s="1"/>
    </row>
    <row r="456" spans="1:21" x14ac:dyDescent="0.2">
      <c r="A456" s="7" t="s">
        <v>476</v>
      </c>
      <c r="B456" s="7">
        <v>6</v>
      </c>
      <c r="C456" s="7">
        <v>6</v>
      </c>
      <c r="D456" s="7" t="str">
        <f>IF(B456=C456,"MATCH","MISMATCH")</f>
        <v>MATCH</v>
      </c>
      <c r="E456" s="7">
        <f>IF(F456="None",1,0)</f>
        <v>1</v>
      </c>
      <c r="F456" s="7" t="s">
        <v>17</v>
      </c>
      <c r="G456" s="7">
        <v>0</v>
      </c>
      <c r="H456" s="7">
        <v>0</v>
      </c>
      <c r="I456" s="7">
        <f>IF(AND(E456=0,G456=0),1,0)</f>
        <v>0</v>
      </c>
      <c r="J456" s="7">
        <f>IF(AND(E456=0,H456=0),1,0)</f>
        <v>0</v>
      </c>
      <c r="K456" s="7">
        <f>I456*'05 Methodology'!$B$7</f>
        <v>0</v>
      </c>
      <c r="L456" s="7">
        <f>J456*'05 Methodology'!$B$7</f>
        <v>0</v>
      </c>
      <c r="M456" s="7" t="str">
        <f>IF(G456=1,"FLAG / HOLD","INDEXED")</f>
        <v>INDEXED</v>
      </c>
      <c r="N456" s="1" t="str">
        <f>IF(H456=1,"FLAG / HOLD","INDEXED")</f>
        <v>INDEXED</v>
      </c>
      <c r="O456" s="1" t="s">
        <v>18</v>
      </c>
      <c r="P456" s="1" t="s">
        <v>19</v>
      </c>
      <c r="Q456" s="1"/>
      <c r="R456" s="1"/>
      <c r="S456" s="1"/>
      <c r="T456" s="1"/>
      <c r="U456" s="1"/>
    </row>
    <row r="457" spans="1:21" x14ac:dyDescent="0.2">
      <c r="A457" s="7" t="s">
        <v>477</v>
      </c>
      <c r="B457" s="7">
        <v>5</v>
      </c>
      <c r="C457" s="7">
        <v>5</v>
      </c>
      <c r="D457" s="7" t="str">
        <f>IF(B457=C457,"MATCH","MISMATCH")</f>
        <v>MATCH</v>
      </c>
      <c r="E457" s="7">
        <f>IF(F457="None",1,0)</f>
        <v>1</v>
      </c>
      <c r="F457" s="7" t="s">
        <v>17</v>
      </c>
      <c r="G457" s="7">
        <v>0</v>
      </c>
      <c r="H457" s="7">
        <v>0</v>
      </c>
      <c r="I457" s="7">
        <f>IF(AND(E457=0,G457=0),1,0)</f>
        <v>0</v>
      </c>
      <c r="J457" s="7">
        <f>IF(AND(E457=0,H457=0),1,0)</f>
        <v>0</v>
      </c>
      <c r="K457" s="7">
        <f>I457*'05 Methodology'!$B$7</f>
        <v>0</v>
      </c>
      <c r="L457" s="7">
        <f>J457*'05 Methodology'!$B$7</f>
        <v>0</v>
      </c>
      <c r="M457" s="7" t="str">
        <f>IF(G457=1,"FLAG / HOLD","INDEXED")</f>
        <v>INDEXED</v>
      </c>
      <c r="N457" s="1" t="str">
        <f>IF(H457=1,"FLAG / HOLD","INDEXED")</f>
        <v>INDEXED</v>
      </c>
      <c r="O457" s="1" t="s">
        <v>18</v>
      </c>
      <c r="P457" s="1" t="s">
        <v>19</v>
      </c>
      <c r="Q457" s="1"/>
      <c r="R457" s="1"/>
      <c r="S457" s="1"/>
      <c r="T457" s="1"/>
      <c r="U457" s="1"/>
    </row>
    <row r="458" spans="1:21" x14ac:dyDescent="0.2">
      <c r="A458" s="7" t="s">
        <v>478</v>
      </c>
      <c r="B458" s="7">
        <v>6</v>
      </c>
      <c r="C458" s="7">
        <v>6</v>
      </c>
      <c r="D458" s="7" t="str">
        <f>IF(B458=C458,"MATCH","MISMATCH")</f>
        <v>MATCH</v>
      </c>
      <c r="E458" s="7">
        <f>IF(F458="None",1,0)</f>
        <v>1</v>
      </c>
      <c r="F458" s="7" t="s">
        <v>17</v>
      </c>
      <c r="G458" s="7">
        <v>0</v>
      </c>
      <c r="H458" s="7">
        <v>0</v>
      </c>
      <c r="I458" s="7">
        <f>IF(AND(E458=0,G458=0),1,0)</f>
        <v>0</v>
      </c>
      <c r="J458" s="7">
        <f>IF(AND(E458=0,H458=0),1,0)</f>
        <v>0</v>
      </c>
      <c r="K458" s="7">
        <f>I458*'05 Methodology'!$B$7</f>
        <v>0</v>
      </c>
      <c r="L458" s="7">
        <f>J458*'05 Methodology'!$B$7</f>
        <v>0</v>
      </c>
      <c r="M458" s="7" t="str">
        <f>IF(G458=1,"FLAG / HOLD","INDEXED")</f>
        <v>INDEXED</v>
      </c>
      <c r="N458" s="1" t="str">
        <f>IF(H458=1,"FLAG / HOLD","INDEXED")</f>
        <v>INDEXED</v>
      </c>
      <c r="O458" s="1" t="s">
        <v>18</v>
      </c>
      <c r="P458" s="1" t="s">
        <v>19</v>
      </c>
      <c r="Q458" s="1"/>
      <c r="R458" s="1"/>
      <c r="S458" s="1"/>
      <c r="T458" s="1"/>
      <c r="U458" s="1"/>
    </row>
    <row r="459" spans="1:21" x14ac:dyDescent="0.2">
      <c r="A459" s="7" t="s">
        <v>479</v>
      </c>
      <c r="B459" s="7">
        <v>7</v>
      </c>
      <c r="C459" s="7">
        <v>7</v>
      </c>
      <c r="D459" s="7" t="str">
        <f>IF(B459=C459,"MATCH","MISMATCH")</f>
        <v>MATCH</v>
      </c>
      <c r="E459" s="7">
        <f>IF(F459="None",1,0)</f>
        <v>1</v>
      </c>
      <c r="F459" s="7" t="s">
        <v>17</v>
      </c>
      <c r="G459" s="7">
        <v>0</v>
      </c>
      <c r="H459" s="7">
        <v>0</v>
      </c>
      <c r="I459" s="7">
        <f>IF(AND(E459=0,G459=0),1,0)</f>
        <v>0</v>
      </c>
      <c r="J459" s="7">
        <f>IF(AND(E459=0,H459=0),1,0)</f>
        <v>0</v>
      </c>
      <c r="K459" s="7">
        <f>I459*'05 Methodology'!$B$7</f>
        <v>0</v>
      </c>
      <c r="L459" s="7">
        <f>J459*'05 Methodology'!$B$7</f>
        <v>0</v>
      </c>
      <c r="M459" s="7" t="str">
        <f>IF(G459=1,"FLAG / HOLD","INDEXED")</f>
        <v>INDEXED</v>
      </c>
      <c r="N459" s="1" t="str">
        <f>IF(H459=1,"FLAG / HOLD","INDEXED")</f>
        <v>INDEXED</v>
      </c>
      <c r="O459" s="1" t="s">
        <v>18</v>
      </c>
      <c r="P459" s="1" t="s">
        <v>19</v>
      </c>
      <c r="Q459" s="1"/>
      <c r="R459" s="1"/>
      <c r="S459" s="1"/>
      <c r="T459" s="1"/>
      <c r="U459" s="1"/>
    </row>
    <row r="460" spans="1:21" x14ac:dyDescent="0.2">
      <c r="A460" s="7" t="s">
        <v>480</v>
      </c>
      <c r="B460" s="7">
        <v>8</v>
      </c>
      <c r="C460" s="7">
        <v>7</v>
      </c>
      <c r="D460" s="7" t="str">
        <f>IF(B460=C460,"MATCH","MISMATCH")</f>
        <v>MISMATCH</v>
      </c>
      <c r="E460" s="7">
        <f>IF(F460="None",1,0)</f>
        <v>0</v>
      </c>
      <c r="F460" s="7" t="s">
        <v>38</v>
      </c>
      <c r="G460" s="7">
        <v>0</v>
      </c>
      <c r="H460" s="7">
        <v>1</v>
      </c>
      <c r="I460" s="7">
        <f>IF(AND(E460=0,G460=0),1,0)</f>
        <v>1</v>
      </c>
      <c r="J460" s="7">
        <f>IF(AND(E460=0,H460=0),1,0)</f>
        <v>0</v>
      </c>
      <c r="K460" s="7">
        <f>I460*'05 Methodology'!$B$7</f>
        <v>20</v>
      </c>
      <c r="L460" s="7">
        <f>J460*'05 Methodology'!$B$7</f>
        <v>0</v>
      </c>
      <c r="M460" s="7" t="str">
        <f>IF(G460=1,"FLAG / HOLD","INDEXED")</f>
        <v>INDEXED</v>
      </c>
      <c r="N460" s="1" t="str">
        <f>IF(H460=1,"FLAG / HOLD","INDEXED")</f>
        <v>FLAG / HOLD</v>
      </c>
      <c r="O460" s="1" t="s">
        <v>18</v>
      </c>
      <c r="P460" s="1" t="s">
        <v>19</v>
      </c>
      <c r="Q460" s="1"/>
      <c r="R460" s="1"/>
      <c r="S460" s="1"/>
      <c r="T460" s="1"/>
      <c r="U460" s="1"/>
    </row>
    <row r="461" spans="1:21" x14ac:dyDescent="0.2">
      <c r="A461" s="7" t="s">
        <v>481</v>
      </c>
      <c r="B461" s="7">
        <v>4</v>
      </c>
      <c r="C461" s="7">
        <v>4</v>
      </c>
      <c r="D461" s="7" t="str">
        <f>IF(B461=C461,"MATCH","MISMATCH")</f>
        <v>MATCH</v>
      </c>
      <c r="E461" s="7">
        <f>IF(F461="None",1,0)</f>
        <v>1</v>
      </c>
      <c r="F461" s="7" t="s">
        <v>17</v>
      </c>
      <c r="G461" s="7">
        <v>0</v>
      </c>
      <c r="H461" s="7">
        <v>0</v>
      </c>
      <c r="I461" s="7">
        <f>IF(AND(E461=0,G461=0),1,0)</f>
        <v>0</v>
      </c>
      <c r="J461" s="7">
        <f>IF(AND(E461=0,H461=0),1,0)</f>
        <v>0</v>
      </c>
      <c r="K461" s="7">
        <f>I461*'05 Methodology'!$B$7</f>
        <v>0</v>
      </c>
      <c r="L461" s="7">
        <f>J461*'05 Methodology'!$B$7</f>
        <v>0</v>
      </c>
      <c r="M461" s="7" t="str">
        <f>IF(G461=1,"FLAG / HOLD","INDEXED")</f>
        <v>INDEXED</v>
      </c>
      <c r="N461" s="1" t="str">
        <f>IF(H461=1,"FLAG / HOLD","INDEXED")</f>
        <v>INDEXED</v>
      </c>
      <c r="O461" s="1" t="s">
        <v>18</v>
      </c>
      <c r="P461" s="1" t="s">
        <v>19</v>
      </c>
      <c r="Q461" s="1"/>
      <c r="R461" s="1"/>
      <c r="S461" s="1"/>
      <c r="T461" s="1"/>
      <c r="U461" s="1"/>
    </row>
    <row r="462" spans="1:21" x14ac:dyDescent="0.2">
      <c r="A462" s="7" t="s">
        <v>482</v>
      </c>
      <c r="B462" s="7">
        <v>5</v>
      </c>
      <c r="C462" s="7">
        <v>5</v>
      </c>
      <c r="D462" s="7" t="str">
        <f>IF(B462=C462,"MATCH","MISMATCH")</f>
        <v>MATCH</v>
      </c>
      <c r="E462" s="7">
        <f>IF(F462="None",1,0)</f>
        <v>1</v>
      </c>
      <c r="F462" s="7" t="s">
        <v>17</v>
      </c>
      <c r="G462" s="7">
        <v>0</v>
      </c>
      <c r="H462" s="7">
        <v>0</v>
      </c>
      <c r="I462" s="7">
        <f>IF(AND(E462=0,G462=0),1,0)</f>
        <v>0</v>
      </c>
      <c r="J462" s="7">
        <f>IF(AND(E462=0,H462=0),1,0)</f>
        <v>0</v>
      </c>
      <c r="K462" s="7">
        <f>I462*'05 Methodology'!$B$7</f>
        <v>0</v>
      </c>
      <c r="L462" s="7">
        <f>J462*'05 Methodology'!$B$7</f>
        <v>0</v>
      </c>
      <c r="M462" s="7" t="str">
        <f>IF(G462=1,"FLAG / HOLD","INDEXED")</f>
        <v>INDEXED</v>
      </c>
      <c r="N462" s="1" t="str">
        <f>IF(H462=1,"FLAG / HOLD","INDEXED")</f>
        <v>INDEXED</v>
      </c>
      <c r="O462" s="1" t="s">
        <v>18</v>
      </c>
      <c r="P462" s="1" t="s">
        <v>19</v>
      </c>
      <c r="Q462" s="1"/>
      <c r="R462" s="1"/>
      <c r="S462" s="1"/>
      <c r="T462" s="1"/>
      <c r="U462" s="1"/>
    </row>
    <row r="463" spans="1:21" x14ac:dyDescent="0.2">
      <c r="A463" s="7" t="s">
        <v>483</v>
      </c>
      <c r="B463" s="7">
        <v>6</v>
      </c>
      <c r="C463" s="7">
        <v>5</v>
      </c>
      <c r="D463" s="7" t="str">
        <f>IF(B463=C463,"MATCH","MISMATCH")</f>
        <v>MISMATCH</v>
      </c>
      <c r="E463" s="7">
        <f>IF(F463="None",1,0)</f>
        <v>0</v>
      </c>
      <c r="F463" s="7" t="s">
        <v>38</v>
      </c>
      <c r="G463" s="7">
        <v>1</v>
      </c>
      <c r="H463" s="7">
        <v>1</v>
      </c>
      <c r="I463" s="7">
        <f>IF(AND(E463=0,G463=0),1,0)</f>
        <v>0</v>
      </c>
      <c r="J463" s="7">
        <f>IF(AND(E463=0,H463=0),1,0)</f>
        <v>0</v>
      </c>
      <c r="K463" s="7">
        <f>I463*'05 Methodology'!$B$7</f>
        <v>0</v>
      </c>
      <c r="L463" s="7">
        <f>J463*'05 Methodology'!$B$7</f>
        <v>0</v>
      </c>
      <c r="M463" s="7" t="str">
        <f>IF(G463=1,"FLAG / HOLD","INDEXED")</f>
        <v>FLAG / HOLD</v>
      </c>
      <c r="N463" s="1" t="str">
        <f>IF(H463=1,"FLAG / HOLD","INDEXED")</f>
        <v>FLAG / HOLD</v>
      </c>
      <c r="O463" s="1" t="s">
        <v>18</v>
      </c>
      <c r="P463" s="1" t="s">
        <v>19</v>
      </c>
      <c r="Q463" s="1"/>
      <c r="R463" s="1"/>
      <c r="S463" s="1"/>
      <c r="T463" s="1"/>
      <c r="U463" s="1"/>
    </row>
    <row r="464" spans="1:21" x14ac:dyDescent="0.2">
      <c r="A464" s="7" t="s">
        <v>484</v>
      </c>
      <c r="B464" s="7">
        <v>7</v>
      </c>
      <c r="C464" s="7">
        <v>7</v>
      </c>
      <c r="D464" s="7" t="str">
        <f>IF(B464=C464,"MATCH","MISMATCH")</f>
        <v>MATCH</v>
      </c>
      <c r="E464" s="7">
        <f>IF(F464="None",1,0)</f>
        <v>1</v>
      </c>
      <c r="F464" s="7" t="s">
        <v>17</v>
      </c>
      <c r="G464" s="7">
        <v>0</v>
      </c>
      <c r="H464" s="7">
        <v>0</v>
      </c>
      <c r="I464" s="7">
        <f>IF(AND(E464=0,G464=0),1,0)</f>
        <v>0</v>
      </c>
      <c r="J464" s="7">
        <f>IF(AND(E464=0,H464=0),1,0)</f>
        <v>0</v>
      </c>
      <c r="K464" s="7">
        <f>I464*'05 Methodology'!$B$7</f>
        <v>0</v>
      </c>
      <c r="L464" s="7">
        <f>J464*'05 Methodology'!$B$7</f>
        <v>0</v>
      </c>
      <c r="M464" s="7" t="str">
        <f>IF(G464=1,"FLAG / HOLD","INDEXED")</f>
        <v>INDEXED</v>
      </c>
      <c r="N464" s="1" t="str">
        <f>IF(H464=1,"FLAG / HOLD","INDEXED")</f>
        <v>INDEXED</v>
      </c>
      <c r="O464" s="1" t="s">
        <v>18</v>
      </c>
      <c r="P464" s="1" t="s">
        <v>19</v>
      </c>
      <c r="Q464" s="1"/>
      <c r="R464" s="1"/>
      <c r="S464" s="1"/>
      <c r="T464" s="1"/>
      <c r="U464" s="1"/>
    </row>
    <row r="465" spans="1:21" x14ac:dyDescent="0.2">
      <c r="A465" s="7" t="s">
        <v>485</v>
      </c>
      <c r="B465" s="7">
        <v>8</v>
      </c>
      <c r="C465" s="7">
        <v>8</v>
      </c>
      <c r="D465" s="7" t="str">
        <f>IF(B465=C465,"MATCH","MISMATCH")</f>
        <v>MATCH</v>
      </c>
      <c r="E465" s="7">
        <f>IF(F465="None",1,0)</f>
        <v>1</v>
      </c>
      <c r="F465" s="7" t="s">
        <v>17</v>
      </c>
      <c r="G465" s="7">
        <v>0</v>
      </c>
      <c r="H465" s="7">
        <v>0</v>
      </c>
      <c r="I465" s="7">
        <f>IF(AND(E465=0,G465=0),1,0)</f>
        <v>0</v>
      </c>
      <c r="J465" s="7">
        <f>IF(AND(E465=0,H465=0),1,0)</f>
        <v>0</v>
      </c>
      <c r="K465" s="7">
        <f>I465*'05 Methodology'!$B$7</f>
        <v>0</v>
      </c>
      <c r="L465" s="7">
        <f>J465*'05 Methodology'!$B$7</f>
        <v>0</v>
      </c>
      <c r="M465" s="7" t="str">
        <f>IF(G465=1,"FLAG / HOLD","INDEXED")</f>
        <v>INDEXED</v>
      </c>
      <c r="N465" s="1" t="str">
        <f>IF(H465=1,"FLAG / HOLD","INDEXED")</f>
        <v>INDEXED</v>
      </c>
      <c r="O465" s="1" t="s">
        <v>18</v>
      </c>
      <c r="P465" s="1" t="s">
        <v>19</v>
      </c>
      <c r="Q465" s="1"/>
      <c r="R465" s="1"/>
      <c r="S465" s="1"/>
      <c r="T465" s="1"/>
      <c r="U465" s="1"/>
    </row>
    <row r="466" spans="1:21" x14ac:dyDescent="0.2">
      <c r="A466" s="7" t="s">
        <v>486</v>
      </c>
      <c r="B466" s="7">
        <v>4</v>
      </c>
      <c r="C466" s="7">
        <v>4</v>
      </c>
      <c r="D466" s="7" t="str">
        <f>IF(B466=C466,"MATCH","MISMATCH")</f>
        <v>MATCH</v>
      </c>
      <c r="E466" s="7">
        <f>IF(F466="None",1,0)</f>
        <v>1</v>
      </c>
      <c r="F466" s="7" t="s">
        <v>17</v>
      </c>
      <c r="G466" s="7">
        <v>0</v>
      </c>
      <c r="H466" s="7">
        <v>0</v>
      </c>
      <c r="I466" s="7">
        <f>IF(AND(E466=0,G466=0),1,0)</f>
        <v>0</v>
      </c>
      <c r="J466" s="7">
        <f>IF(AND(E466=0,H466=0),1,0)</f>
        <v>0</v>
      </c>
      <c r="K466" s="7">
        <f>I466*'05 Methodology'!$B$7</f>
        <v>0</v>
      </c>
      <c r="L466" s="7">
        <f>J466*'05 Methodology'!$B$7</f>
        <v>0</v>
      </c>
      <c r="M466" s="7" t="str">
        <f>IF(G466=1,"FLAG / HOLD","INDEXED")</f>
        <v>INDEXED</v>
      </c>
      <c r="N466" s="1" t="str">
        <f>IF(H466=1,"FLAG / HOLD","INDEXED")</f>
        <v>INDEXED</v>
      </c>
      <c r="O466" s="1" t="s">
        <v>18</v>
      </c>
      <c r="P466" s="1" t="s">
        <v>19</v>
      </c>
      <c r="Q466" s="1"/>
      <c r="R466" s="1"/>
      <c r="S466" s="1"/>
      <c r="T466" s="1"/>
      <c r="U466" s="1"/>
    </row>
    <row r="467" spans="1:21" x14ac:dyDescent="0.2">
      <c r="A467" s="7" t="s">
        <v>487</v>
      </c>
      <c r="B467" s="7">
        <v>5</v>
      </c>
      <c r="C467" s="7">
        <v>5</v>
      </c>
      <c r="D467" s="7" t="str">
        <f>IF(B467=C467,"MATCH","MISMATCH")</f>
        <v>MATCH</v>
      </c>
      <c r="E467" s="7">
        <f>IF(F467="None",1,0)</f>
        <v>1</v>
      </c>
      <c r="F467" s="7" t="s">
        <v>17</v>
      </c>
      <c r="G467" s="7">
        <v>0</v>
      </c>
      <c r="H467" s="7">
        <v>0</v>
      </c>
      <c r="I467" s="7">
        <f>IF(AND(E467=0,G467=0),1,0)</f>
        <v>0</v>
      </c>
      <c r="J467" s="7">
        <f>IF(AND(E467=0,H467=0),1,0)</f>
        <v>0</v>
      </c>
      <c r="K467" s="7">
        <f>I467*'05 Methodology'!$B$7</f>
        <v>0</v>
      </c>
      <c r="L467" s="7">
        <f>J467*'05 Methodology'!$B$7</f>
        <v>0</v>
      </c>
      <c r="M467" s="7" t="str">
        <f>IF(G467=1,"FLAG / HOLD","INDEXED")</f>
        <v>INDEXED</v>
      </c>
      <c r="N467" s="1" t="str">
        <f>IF(H467=1,"FLAG / HOLD","INDEXED")</f>
        <v>INDEXED</v>
      </c>
      <c r="O467" s="1" t="s">
        <v>18</v>
      </c>
      <c r="P467" s="1" t="s">
        <v>19</v>
      </c>
      <c r="Q467" s="1"/>
      <c r="R467" s="1"/>
      <c r="S467" s="1"/>
      <c r="T467" s="1"/>
      <c r="U467" s="1"/>
    </row>
    <row r="468" spans="1:21" x14ac:dyDescent="0.2">
      <c r="A468" s="7" t="s">
        <v>488</v>
      </c>
      <c r="B468" s="7">
        <v>6</v>
      </c>
      <c r="C468" s="7">
        <v>6</v>
      </c>
      <c r="D468" s="7" t="str">
        <f>IF(B468=C468,"MATCH","MISMATCH")</f>
        <v>MATCH</v>
      </c>
      <c r="E468" s="7">
        <f>IF(F468="None",1,0)</f>
        <v>1</v>
      </c>
      <c r="F468" s="7" t="s">
        <v>17</v>
      </c>
      <c r="G468" s="7">
        <v>0</v>
      </c>
      <c r="H468" s="7">
        <v>0</v>
      </c>
      <c r="I468" s="7">
        <f>IF(AND(E468=0,G468=0),1,0)</f>
        <v>0</v>
      </c>
      <c r="J468" s="7">
        <f>IF(AND(E468=0,H468=0),1,0)</f>
        <v>0</v>
      </c>
      <c r="K468" s="7">
        <f>I468*'05 Methodology'!$B$7</f>
        <v>0</v>
      </c>
      <c r="L468" s="7">
        <f>J468*'05 Methodology'!$B$7</f>
        <v>0</v>
      </c>
      <c r="M468" s="7" t="str">
        <f>IF(G468=1,"FLAG / HOLD","INDEXED")</f>
        <v>INDEXED</v>
      </c>
      <c r="N468" s="1" t="str">
        <f>IF(H468=1,"FLAG / HOLD","INDEXED")</f>
        <v>INDEXED</v>
      </c>
      <c r="O468" s="1" t="s">
        <v>18</v>
      </c>
      <c r="P468" s="1" t="s">
        <v>19</v>
      </c>
      <c r="Q468" s="1"/>
      <c r="R468" s="1"/>
      <c r="S468" s="1"/>
      <c r="T468" s="1"/>
      <c r="U468" s="1"/>
    </row>
    <row r="469" spans="1:21" x14ac:dyDescent="0.2">
      <c r="A469" s="7" t="s">
        <v>489</v>
      </c>
      <c r="B469" s="7">
        <v>7</v>
      </c>
      <c r="C469" s="7">
        <v>6</v>
      </c>
      <c r="D469" s="7" t="str">
        <f>IF(B469=C469,"MATCH","MISMATCH")</f>
        <v>MISMATCH</v>
      </c>
      <c r="E469" s="7">
        <f>IF(F469="None",1,0)</f>
        <v>0</v>
      </c>
      <c r="F469" s="7" t="s">
        <v>38</v>
      </c>
      <c r="G469" s="7">
        <v>1</v>
      </c>
      <c r="H469" s="7">
        <v>1</v>
      </c>
      <c r="I469" s="7">
        <f>IF(AND(E469=0,G469=0),1,0)</f>
        <v>0</v>
      </c>
      <c r="J469" s="7">
        <f>IF(AND(E469=0,H469=0),1,0)</f>
        <v>0</v>
      </c>
      <c r="K469" s="7">
        <f>I469*'05 Methodology'!$B$7</f>
        <v>0</v>
      </c>
      <c r="L469" s="7">
        <f>J469*'05 Methodology'!$B$7</f>
        <v>0</v>
      </c>
      <c r="M469" s="7" t="str">
        <f>IF(G469=1,"FLAG / HOLD","INDEXED")</f>
        <v>FLAG / HOLD</v>
      </c>
      <c r="N469" s="1" t="str">
        <f>IF(H469=1,"FLAG / HOLD","INDEXED")</f>
        <v>FLAG / HOLD</v>
      </c>
      <c r="O469" s="1" t="s">
        <v>18</v>
      </c>
      <c r="P469" s="1" t="s">
        <v>19</v>
      </c>
      <c r="Q469" s="1"/>
      <c r="R469" s="1"/>
      <c r="S469" s="1"/>
      <c r="T469" s="1"/>
      <c r="U469" s="1"/>
    </row>
    <row r="470" spans="1:21" x14ac:dyDescent="0.2">
      <c r="A470" s="7" t="s">
        <v>490</v>
      </c>
      <c r="B470" s="7">
        <v>6</v>
      </c>
      <c r="C470" s="7">
        <v>6</v>
      </c>
      <c r="D470" s="7" t="str">
        <f>IF(B470=C470,"MATCH","MISMATCH")</f>
        <v>MATCH</v>
      </c>
      <c r="E470" s="7">
        <f>IF(F470="None",1,0)</f>
        <v>1</v>
      </c>
      <c r="F470" s="7" t="s">
        <v>17</v>
      </c>
      <c r="G470" s="7">
        <v>0</v>
      </c>
      <c r="H470" s="7">
        <v>0</v>
      </c>
      <c r="I470" s="7">
        <f>IF(AND(E470=0,G470=0),1,0)</f>
        <v>0</v>
      </c>
      <c r="J470" s="7">
        <f>IF(AND(E470=0,H470=0),1,0)</f>
        <v>0</v>
      </c>
      <c r="K470" s="7">
        <f>I470*'05 Methodology'!$B$7</f>
        <v>0</v>
      </c>
      <c r="L470" s="7">
        <f>J470*'05 Methodology'!$B$7</f>
        <v>0</v>
      </c>
      <c r="M470" s="7" t="str">
        <f>IF(G470=1,"FLAG / HOLD","INDEXED")</f>
        <v>INDEXED</v>
      </c>
      <c r="N470" s="1" t="str">
        <f>IF(H470=1,"FLAG / HOLD","INDEXED")</f>
        <v>INDEXED</v>
      </c>
      <c r="O470" s="1" t="s">
        <v>18</v>
      </c>
      <c r="P470" s="1" t="s">
        <v>19</v>
      </c>
      <c r="Q470" s="1"/>
      <c r="R470" s="1"/>
      <c r="S470" s="1"/>
      <c r="T470" s="1"/>
      <c r="U470" s="1"/>
    </row>
    <row r="471" spans="1:21" x14ac:dyDescent="0.2">
      <c r="A471" s="7" t="s">
        <v>491</v>
      </c>
      <c r="B471" s="7">
        <v>4</v>
      </c>
      <c r="C471" s="7">
        <v>4</v>
      </c>
      <c r="D471" s="7" t="str">
        <f>IF(B471=C471,"MATCH","MISMATCH")</f>
        <v>MATCH</v>
      </c>
      <c r="E471" s="7">
        <f>IF(F471="None",1,0)</f>
        <v>1</v>
      </c>
      <c r="F471" s="7" t="s">
        <v>17</v>
      </c>
      <c r="G471" s="7">
        <v>0</v>
      </c>
      <c r="H471" s="7">
        <v>0</v>
      </c>
      <c r="I471" s="7">
        <f>IF(AND(E471=0,G471=0),1,0)</f>
        <v>0</v>
      </c>
      <c r="J471" s="7">
        <f>IF(AND(E471=0,H471=0),1,0)</f>
        <v>0</v>
      </c>
      <c r="K471" s="7">
        <f>I471*'05 Methodology'!$B$7</f>
        <v>0</v>
      </c>
      <c r="L471" s="7">
        <f>J471*'05 Methodology'!$B$7</f>
        <v>0</v>
      </c>
      <c r="M471" s="7" t="str">
        <f>IF(G471=1,"FLAG / HOLD","INDEXED")</f>
        <v>INDEXED</v>
      </c>
      <c r="N471" s="1" t="str">
        <f>IF(H471=1,"FLAG / HOLD","INDEXED")</f>
        <v>INDEXED</v>
      </c>
      <c r="O471" s="1" t="s">
        <v>18</v>
      </c>
      <c r="P471" s="1" t="s">
        <v>19</v>
      </c>
      <c r="Q471" s="1"/>
      <c r="R471" s="1"/>
      <c r="S471" s="1"/>
      <c r="T471" s="1"/>
      <c r="U471" s="1"/>
    </row>
    <row r="472" spans="1:21" x14ac:dyDescent="0.2">
      <c r="A472" s="7" t="s">
        <v>492</v>
      </c>
      <c r="B472" s="7">
        <v>5</v>
      </c>
      <c r="C472" s="7">
        <v>5</v>
      </c>
      <c r="D472" s="7" t="str">
        <f>IF(B472=C472,"MATCH","MISMATCH")</f>
        <v>MATCH</v>
      </c>
      <c r="E472" s="7">
        <f>IF(F472="None",1,0)</f>
        <v>1</v>
      </c>
      <c r="F472" s="7" t="s">
        <v>17</v>
      </c>
      <c r="G472" s="7">
        <v>0</v>
      </c>
      <c r="H472" s="7">
        <v>0</v>
      </c>
      <c r="I472" s="7">
        <f>IF(AND(E472=0,G472=0),1,0)</f>
        <v>0</v>
      </c>
      <c r="J472" s="7">
        <f>IF(AND(E472=0,H472=0),1,0)</f>
        <v>0</v>
      </c>
      <c r="K472" s="7">
        <f>I472*'05 Methodology'!$B$7</f>
        <v>0</v>
      </c>
      <c r="L472" s="7">
        <f>J472*'05 Methodology'!$B$7</f>
        <v>0</v>
      </c>
      <c r="M472" s="7" t="str">
        <f>IF(G472=1,"FLAG / HOLD","INDEXED")</f>
        <v>INDEXED</v>
      </c>
      <c r="N472" s="1" t="str">
        <f>IF(H472=1,"FLAG / HOLD","INDEXED")</f>
        <v>INDEXED</v>
      </c>
      <c r="O472" s="1" t="s">
        <v>18</v>
      </c>
      <c r="P472" s="1" t="s">
        <v>19</v>
      </c>
      <c r="Q472" s="1"/>
      <c r="R472" s="1"/>
      <c r="S472" s="1"/>
      <c r="T472" s="1"/>
      <c r="U472" s="1"/>
    </row>
    <row r="473" spans="1:21" x14ac:dyDescent="0.2">
      <c r="A473" s="7" t="s">
        <v>493</v>
      </c>
      <c r="B473" s="7">
        <v>6</v>
      </c>
      <c r="C473" s="7">
        <v>6</v>
      </c>
      <c r="D473" s="7" t="str">
        <f>IF(B473=C473,"MATCH","MISMATCH")</f>
        <v>MATCH</v>
      </c>
      <c r="E473" s="7">
        <f>IF(F473="None",1,0)</f>
        <v>1</v>
      </c>
      <c r="F473" s="7" t="s">
        <v>17</v>
      </c>
      <c r="G473" s="7">
        <v>0</v>
      </c>
      <c r="H473" s="7">
        <v>0</v>
      </c>
      <c r="I473" s="7">
        <f>IF(AND(E473=0,G473=0),1,0)</f>
        <v>0</v>
      </c>
      <c r="J473" s="7">
        <f>IF(AND(E473=0,H473=0),1,0)</f>
        <v>0</v>
      </c>
      <c r="K473" s="7">
        <f>I473*'05 Methodology'!$B$7</f>
        <v>0</v>
      </c>
      <c r="L473" s="7">
        <f>J473*'05 Methodology'!$B$7</f>
        <v>0</v>
      </c>
      <c r="M473" s="7" t="str">
        <f>IF(G473=1,"FLAG / HOLD","INDEXED")</f>
        <v>INDEXED</v>
      </c>
      <c r="N473" s="1" t="str">
        <f>IF(H473=1,"FLAG / HOLD","INDEXED")</f>
        <v>INDEXED</v>
      </c>
      <c r="O473" s="1" t="s">
        <v>18</v>
      </c>
      <c r="P473" s="1" t="s">
        <v>19</v>
      </c>
      <c r="Q473" s="1"/>
      <c r="R473" s="1"/>
      <c r="S473" s="1"/>
      <c r="T473" s="1"/>
      <c r="U473" s="1"/>
    </row>
    <row r="474" spans="1:21" x14ac:dyDescent="0.2">
      <c r="A474" s="7" t="s">
        <v>494</v>
      </c>
      <c r="B474" s="7">
        <v>7</v>
      </c>
      <c r="C474" s="7">
        <v>7</v>
      </c>
      <c r="D474" s="7" t="str">
        <f>IF(B474=C474,"MATCH","MISMATCH")</f>
        <v>MATCH</v>
      </c>
      <c r="E474" s="7">
        <f>IF(F474="None",1,0)</f>
        <v>1</v>
      </c>
      <c r="F474" s="7" t="s">
        <v>17</v>
      </c>
      <c r="G474" s="7">
        <v>0</v>
      </c>
      <c r="H474" s="7">
        <v>0</v>
      </c>
      <c r="I474" s="7">
        <f>IF(AND(E474=0,G474=0),1,0)</f>
        <v>0</v>
      </c>
      <c r="J474" s="7">
        <f>IF(AND(E474=0,H474=0),1,0)</f>
        <v>0</v>
      </c>
      <c r="K474" s="7">
        <f>I474*'05 Methodology'!$B$7</f>
        <v>0</v>
      </c>
      <c r="L474" s="7">
        <f>J474*'05 Methodology'!$B$7</f>
        <v>0</v>
      </c>
      <c r="M474" s="7" t="str">
        <f>IF(G474=1,"FLAG / HOLD","INDEXED")</f>
        <v>INDEXED</v>
      </c>
      <c r="N474" s="1" t="str">
        <f>IF(H474=1,"FLAG / HOLD","INDEXED")</f>
        <v>INDEXED</v>
      </c>
      <c r="O474" s="1" t="s">
        <v>18</v>
      </c>
      <c r="P474" s="1" t="s">
        <v>19</v>
      </c>
      <c r="Q474" s="1"/>
      <c r="R474" s="1"/>
      <c r="S474" s="1"/>
      <c r="T474" s="1"/>
      <c r="U474" s="1"/>
    </row>
    <row r="475" spans="1:21" x14ac:dyDescent="0.2">
      <c r="A475" s="7" t="s">
        <v>495</v>
      </c>
      <c r="B475" s="7">
        <v>8</v>
      </c>
      <c r="C475" s="7">
        <v>8</v>
      </c>
      <c r="D475" s="7" t="str">
        <f>IF(B475=C475,"MATCH","MISMATCH")</f>
        <v>MATCH</v>
      </c>
      <c r="E475" s="7">
        <f>IF(F475="None",1,0)</f>
        <v>1</v>
      </c>
      <c r="F475" s="7" t="s">
        <v>17</v>
      </c>
      <c r="G475" s="7">
        <v>0</v>
      </c>
      <c r="H475" s="7">
        <v>0</v>
      </c>
      <c r="I475" s="7">
        <f>IF(AND(E475=0,G475=0),1,0)</f>
        <v>0</v>
      </c>
      <c r="J475" s="7">
        <f>IF(AND(E475=0,H475=0),1,0)</f>
        <v>0</v>
      </c>
      <c r="K475" s="7">
        <f>I475*'05 Methodology'!$B$7</f>
        <v>0</v>
      </c>
      <c r="L475" s="7">
        <f>J475*'05 Methodology'!$B$7</f>
        <v>0</v>
      </c>
      <c r="M475" s="7" t="str">
        <f>IF(G475=1,"FLAG / HOLD","INDEXED")</f>
        <v>INDEXED</v>
      </c>
      <c r="N475" s="1" t="str">
        <f>IF(H475=1,"FLAG / HOLD","INDEXED")</f>
        <v>INDEXED</v>
      </c>
      <c r="O475" s="1" t="s">
        <v>18</v>
      </c>
      <c r="P475" s="1" t="s">
        <v>19</v>
      </c>
      <c r="Q475" s="1"/>
      <c r="R475" s="1"/>
      <c r="S475" s="1"/>
      <c r="T475" s="1"/>
      <c r="U475" s="1"/>
    </row>
    <row r="476" spans="1:21" x14ac:dyDescent="0.2">
      <c r="A476" s="7" t="s">
        <v>496</v>
      </c>
      <c r="B476" s="7">
        <v>4</v>
      </c>
      <c r="C476" s="7">
        <v>4</v>
      </c>
      <c r="D476" s="7" t="str">
        <f>IF(B476=C476,"MATCH","MISMATCH")</f>
        <v>MATCH</v>
      </c>
      <c r="E476" s="7">
        <f>IF(F476="None",1,0)</f>
        <v>1</v>
      </c>
      <c r="F476" s="7" t="s">
        <v>17</v>
      </c>
      <c r="G476" s="7">
        <v>0</v>
      </c>
      <c r="H476" s="7">
        <v>0</v>
      </c>
      <c r="I476" s="7">
        <f>IF(AND(E476=0,G476=0),1,0)</f>
        <v>0</v>
      </c>
      <c r="J476" s="7">
        <f>IF(AND(E476=0,H476=0),1,0)</f>
        <v>0</v>
      </c>
      <c r="K476" s="7">
        <f>I476*'05 Methodology'!$B$7</f>
        <v>0</v>
      </c>
      <c r="L476" s="7">
        <f>J476*'05 Methodology'!$B$7</f>
        <v>0</v>
      </c>
      <c r="M476" s="7" t="str">
        <f>IF(G476=1,"FLAG / HOLD","INDEXED")</f>
        <v>INDEXED</v>
      </c>
      <c r="N476" s="1" t="str">
        <f>IF(H476=1,"FLAG / HOLD","INDEXED")</f>
        <v>INDEXED</v>
      </c>
      <c r="O476" s="1" t="s">
        <v>18</v>
      </c>
      <c r="P476" s="1" t="s">
        <v>19</v>
      </c>
      <c r="Q476" s="1"/>
      <c r="R476" s="1"/>
      <c r="S476" s="1"/>
      <c r="T476" s="1"/>
      <c r="U476" s="1"/>
    </row>
    <row r="477" spans="1:21" x14ac:dyDescent="0.2">
      <c r="A477" s="7" t="s">
        <v>497</v>
      </c>
      <c r="B477" s="7">
        <v>6</v>
      </c>
      <c r="C477" s="7">
        <v>6</v>
      </c>
      <c r="D477" s="7" t="str">
        <f>IF(B477=C477,"MATCH","MISMATCH")</f>
        <v>MATCH</v>
      </c>
      <c r="E477" s="7">
        <f>IF(F477="None",1,0)</f>
        <v>1</v>
      </c>
      <c r="F477" s="7" t="s">
        <v>17</v>
      </c>
      <c r="G477" s="7">
        <v>0</v>
      </c>
      <c r="H477" s="7">
        <v>0</v>
      </c>
      <c r="I477" s="7">
        <f>IF(AND(E477=0,G477=0),1,0)</f>
        <v>0</v>
      </c>
      <c r="J477" s="7">
        <f>IF(AND(E477=0,H477=0),1,0)</f>
        <v>0</v>
      </c>
      <c r="K477" s="7">
        <f>I477*'05 Methodology'!$B$7</f>
        <v>0</v>
      </c>
      <c r="L477" s="7">
        <f>J477*'05 Methodology'!$B$7</f>
        <v>0</v>
      </c>
      <c r="M477" s="7" t="str">
        <f>IF(G477=1,"FLAG / HOLD","INDEXED")</f>
        <v>INDEXED</v>
      </c>
      <c r="N477" s="1" t="str">
        <f>IF(H477=1,"FLAG / HOLD","INDEXED")</f>
        <v>INDEXED</v>
      </c>
      <c r="O477" s="1" t="s">
        <v>18</v>
      </c>
      <c r="P477" s="1" t="s">
        <v>19</v>
      </c>
      <c r="Q477" s="1"/>
      <c r="R477" s="1"/>
      <c r="S477" s="1"/>
      <c r="T477" s="1"/>
      <c r="U477" s="1"/>
    </row>
    <row r="478" spans="1:21" x14ac:dyDescent="0.2">
      <c r="A478" s="7" t="s">
        <v>498</v>
      </c>
      <c r="B478" s="7">
        <v>6</v>
      </c>
      <c r="C478" s="7">
        <v>6</v>
      </c>
      <c r="D478" s="7" t="str">
        <f>IF(B478=C478,"MATCH","MISMATCH")</f>
        <v>MATCH</v>
      </c>
      <c r="E478" s="7">
        <f>IF(F478="None",1,0)</f>
        <v>1</v>
      </c>
      <c r="F478" s="7" t="s">
        <v>17</v>
      </c>
      <c r="G478" s="7">
        <v>0</v>
      </c>
      <c r="H478" s="7">
        <v>0</v>
      </c>
      <c r="I478" s="7">
        <f>IF(AND(E478=0,G478=0),1,0)</f>
        <v>0</v>
      </c>
      <c r="J478" s="7">
        <f>IF(AND(E478=0,H478=0),1,0)</f>
        <v>0</v>
      </c>
      <c r="K478" s="7">
        <f>I478*'05 Methodology'!$B$7</f>
        <v>0</v>
      </c>
      <c r="L478" s="7">
        <f>J478*'05 Methodology'!$B$7</f>
        <v>0</v>
      </c>
      <c r="M478" s="7" t="str">
        <f>IF(G478=1,"FLAG / HOLD","INDEXED")</f>
        <v>INDEXED</v>
      </c>
      <c r="N478" s="1" t="str">
        <f>IF(H478=1,"FLAG / HOLD","INDEXED")</f>
        <v>INDEXED</v>
      </c>
      <c r="O478" s="1" t="s">
        <v>18</v>
      </c>
      <c r="P478" s="1" t="s">
        <v>19</v>
      </c>
      <c r="Q478" s="1"/>
      <c r="R478" s="1"/>
      <c r="S478" s="1"/>
      <c r="T478" s="1"/>
      <c r="U478" s="1"/>
    </row>
    <row r="479" spans="1:21" x14ac:dyDescent="0.2">
      <c r="A479" s="7" t="s">
        <v>499</v>
      </c>
      <c r="B479" s="7">
        <v>7</v>
      </c>
      <c r="C479" s="7">
        <v>7</v>
      </c>
      <c r="D479" s="7" t="str">
        <f>IF(B479=C479,"MATCH","MISMATCH")</f>
        <v>MATCH</v>
      </c>
      <c r="E479" s="7">
        <f>IF(F479="None",1,0)</f>
        <v>1</v>
      </c>
      <c r="F479" s="7" t="s">
        <v>17</v>
      </c>
      <c r="G479" s="7">
        <v>0</v>
      </c>
      <c r="H479" s="7">
        <v>0</v>
      </c>
      <c r="I479" s="7">
        <f>IF(AND(E479=0,G479=0),1,0)</f>
        <v>0</v>
      </c>
      <c r="J479" s="7">
        <f>IF(AND(E479=0,H479=0),1,0)</f>
        <v>0</v>
      </c>
      <c r="K479" s="7">
        <f>I479*'05 Methodology'!$B$7</f>
        <v>0</v>
      </c>
      <c r="L479" s="7">
        <f>J479*'05 Methodology'!$B$7</f>
        <v>0</v>
      </c>
      <c r="M479" s="7" t="str">
        <f>IF(G479=1,"FLAG / HOLD","INDEXED")</f>
        <v>INDEXED</v>
      </c>
      <c r="N479" s="1" t="str">
        <f>IF(H479=1,"FLAG / HOLD","INDEXED")</f>
        <v>INDEXED</v>
      </c>
      <c r="O479" s="1" t="s">
        <v>18</v>
      </c>
      <c r="P479" s="1" t="s">
        <v>19</v>
      </c>
      <c r="Q479" s="1"/>
      <c r="R479" s="1"/>
      <c r="S479" s="1"/>
      <c r="T479" s="1"/>
      <c r="U479" s="1"/>
    </row>
    <row r="480" spans="1:21" x14ac:dyDescent="0.2">
      <c r="A480" s="7" t="s">
        <v>500</v>
      </c>
      <c r="B480" s="7">
        <v>8</v>
      </c>
      <c r="C480" s="7">
        <v>8</v>
      </c>
      <c r="D480" s="7" t="str">
        <f>IF(B480=C480,"MATCH","MISMATCH")</f>
        <v>MATCH</v>
      </c>
      <c r="E480" s="7">
        <f>IF(F480="None",1,0)</f>
        <v>1</v>
      </c>
      <c r="F480" s="7" t="s">
        <v>17</v>
      </c>
      <c r="G480" s="7">
        <v>0</v>
      </c>
      <c r="H480" s="7">
        <v>0</v>
      </c>
      <c r="I480" s="7">
        <f>IF(AND(E480=0,G480=0),1,0)</f>
        <v>0</v>
      </c>
      <c r="J480" s="7">
        <f>IF(AND(E480=0,H480=0),1,0)</f>
        <v>0</v>
      </c>
      <c r="K480" s="7">
        <f>I480*'05 Methodology'!$B$7</f>
        <v>0</v>
      </c>
      <c r="L480" s="7">
        <f>J480*'05 Methodology'!$B$7</f>
        <v>0</v>
      </c>
      <c r="M480" s="7" t="str">
        <f>IF(G480=1,"FLAG / HOLD","INDEXED")</f>
        <v>INDEXED</v>
      </c>
      <c r="N480" s="1" t="str">
        <f>IF(H480=1,"FLAG / HOLD","INDEXED")</f>
        <v>INDEXED</v>
      </c>
      <c r="O480" s="1" t="s">
        <v>18</v>
      </c>
      <c r="P480" s="1" t="s">
        <v>19</v>
      </c>
      <c r="Q480" s="1"/>
      <c r="R480" s="1"/>
      <c r="S480" s="1"/>
      <c r="T480" s="1"/>
      <c r="U480" s="1"/>
    </row>
    <row r="481" spans="1:21" x14ac:dyDescent="0.2">
      <c r="A481" s="7" t="s">
        <v>501</v>
      </c>
      <c r="B481" s="7">
        <v>4</v>
      </c>
      <c r="C481" s="7">
        <v>4</v>
      </c>
      <c r="D481" s="7" t="str">
        <f>IF(B481=C481,"MATCH","MISMATCH")</f>
        <v>MATCH</v>
      </c>
      <c r="E481" s="7">
        <f>IF(F481="None",1,0)</f>
        <v>1</v>
      </c>
      <c r="F481" s="7" t="s">
        <v>17</v>
      </c>
      <c r="G481" s="7">
        <v>0</v>
      </c>
      <c r="H481" s="7">
        <v>0</v>
      </c>
      <c r="I481" s="7">
        <f>IF(AND(E481=0,G481=0),1,0)</f>
        <v>0</v>
      </c>
      <c r="J481" s="7">
        <f>IF(AND(E481=0,H481=0),1,0)</f>
        <v>0</v>
      </c>
      <c r="K481" s="7">
        <f>I481*'05 Methodology'!$B$7</f>
        <v>0</v>
      </c>
      <c r="L481" s="7">
        <f>J481*'05 Methodology'!$B$7</f>
        <v>0</v>
      </c>
      <c r="M481" s="7" t="str">
        <f>IF(G481=1,"FLAG / HOLD","INDEXED")</f>
        <v>INDEXED</v>
      </c>
      <c r="N481" s="1" t="str">
        <f>IF(H481=1,"FLAG / HOLD","INDEXED")</f>
        <v>INDEXED</v>
      </c>
      <c r="O481" s="1" t="s">
        <v>18</v>
      </c>
      <c r="P481" s="1" t="s">
        <v>19</v>
      </c>
      <c r="Q481" s="1"/>
      <c r="R481" s="1"/>
      <c r="S481" s="1"/>
      <c r="T481" s="1"/>
      <c r="U481" s="1"/>
    </row>
    <row r="482" spans="1:21" x14ac:dyDescent="0.2">
      <c r="A482" s="7" t="s">
        <v>502</v>
      </c>
      <c r="B482" s="7">
        <v>5</v>
      </c>
      <c r="C482" s="7">
        <v>5</v>
      </c>
      <c r="D482" s="7" t="str">
        <f>IF(B482=C482,"MATCH","MISMATCH")</f>
        <v>MATCH</v>
      </c>
      <c r="E482" s="7">
        <f>IF(F482="None",1,0)</f>
        <v>1</v>
      </c>
      <c r="F482" s="7" t="s">
        <v>17</v>
      </c>
      <c r="G482" s="7">
        <v>0</v>
      </c>
      <c r="H482" s="7">
        <v>0</v>
      </c>
      <c r="I482" s="7">
        <f>IF(AND(E482=0,G482=0),1,0)</f>
        <v>0</v>
      </c>
      <c r="J482" s="7">
        <f>IF(AND(E482=0,H482=0),1,0)</f>
        <v>0</v>
      </c>
      <c r="K482" s="7">
        <f>I482*'05 Methodology'!$B$7</f>
        <v>0</v>
      </c>
      <c r="L482" s="7">
        <f>J482*'05 Methodology'!$B$7</f>
        <v>0</v>
      </c>
      <c r="M482" s="7" t="str">
        <f>IF(G482=1,"FLAG / HOLD","INDEXED")</f>
        <v>INDEXED</v>
      </c>
      <c r="N482" s="1" t="str">
        <f>IF(H482=1,"FLAG / HOLD","INDEXED")</f>
        <v>INDEXED</v>
      </c>
      <c r="O482" s="1" t="s">
        <v>18</v>
      </c>
      <c r="P482" s="1" t="s">
        <v>19</v>
      </c>
      <c r="Q482" s="1"/>
      <c r="R482" s="1"/>
      <c r="S482" s="1"/>
      <c r="T482" s="1"/>
      <c r="U482" s="1"/>
    </row>
    <row r="483" spans="1:21" x14ac:dyDescent="0.2">
      <c r="A483" s="7" t="s">
        <v>503</v>
      </c>
      <c r="B483" s="7">
        <v>6</v>
      </c>
      <c r="C483" s="7">
        <v>6</v>
      </c>
      <c r="D483" s="7" t="str">
        <f>IF(B483=C483,"MATCH","MISMATCH")</f>
        <v>MATCH</v>
      </c>
      <c r="E483" s="7">
        <f>IF(F483="None",1,0)</f>
        <v>1</v>
      </c>
      <c r="F483" s="7" t="s">
        <v>17</v>
      </c>
      <c r="G483" s="7">
        <v>0</v>
      </c>
      <c r="H483" s="7">
        <v>0</v>
      </c>
      <c r="I483" s="7">
        <f>IF(AND(E483=0,G483=0),1,0)</f>
        <v>0</v>
      </c>
      <c r="J483" s="7">
        <f>IF(AND(E483=0,H483=0),1,0)</f>
        <v>0</v>
      </c>
      <c r="K483" s="7">
        <f>I483*'05 Methodology'!$B$7</f>
        <v>0</v>
      </c>
      <c r="L483" s="7">
        <f>J483*'05 Methodology'!$B$7</f>
        <v>0</v>
      </c>
      <c r="M483" s="7" t="str">
        <f>IF(G483=1,"FLAG / HOLD","INDEXED")</f>
        <v>INDEXED</v>
      </c>
      <c r="N483" s="1" t="str">
        <f>IF(H483=1,"FLAG / HOLD","INDEXED")</f>
        <v>INDEXED</v>
      </c>
      <c r="O483" s="1" t="s">
        <v>18</v>
      </c>
      <c r="P483" s="1" t="s">
        <v>19</v>
      </c>
      <c r="Q483" s="1"/>
      <c r="R483" s="1"/>
      <c r="S483" s="1"/>
      <c r="T483" s="1"/>
      <c r="U483" s="1"/>
    </row>
    <row r="484" spans="1:21" x14ac:dyDescent="0.2">
      <c r="A484" s="7" t="s">
        <v>504</v>
      </c>
      <c r="B484" s="7">
        <v>6</v>
      </c>
      <c r="C484" s="7">
        <v>6</v>
      </c>
      <c r="D484" s="7" t="str">
        <f>IF(B484=C484,"MATCH","MISMATCH")</f>
        <v>MATCH</v>
      </c>
      <c r="E484" s="7">
        <f>IF(F484="None",1,0)</f>
        <v>1</v>
      </c>
      <c r="F484" s="7" t="s">
        <v>17</v>
      </c>
      <c r="G484" s="7">
        <v>0</v>
      </c>
      <c r="H484" s="7">
        <v>0</v>
      </c>
      <c r="I484" s="7">
        <f>IF(AND(E484=0,G484=0),1,0)</f>
        <v>0</v>
      </c>
      <c r="J484" s="7">
        <f>IF(AND(E484=0,H484=0),1,0)</f>
        <v>0</v>
      </c>
      <c r="K484" s="7">
        <f>I484*'05 Methodology'!$B$7</f>
        <v>0</v>
      </c>
      <c r="L484" s="7">
        <f>J484*'05 Methodology'!$B$7</f>
        <v>0</v>
      </c>
      <c r="M484" s="7" t="str">
        <f>IF(G484=1,"FLAG / HOLD","INDEXED")</f>
        <v>INDEXED</v>
      </c>
      <c r="N484" s="1" t="str">
        <f>IF(H484=1,"FLAG / HOLD","INDEXED")</f>
        <v>INDEXED</v>
      </c>
      <c r="O484" s="1" t="s">
        <v>18</v>
      </c>
      <c r="P484" s="1" t="s">
        <v>19</v>
      </c>
      <c r="Q484" s="1"/>
      <c r="R484" s="1"/>
      <c r="S484" s="1"/>
      <c r="T484" s="1"/>
      <c r="U484" s="1"/>
    </row>
    <row r="485" spans="1:21" x14ac:dyDescent="0.2">
      <c r="A485" s="7" t="s">
        <v>505</v>
      </c>
      <c r="B485" s="7">
        <v>8</v>
      </c>
      <c r="C485" s="7">
        <v>8</v>
      </c>
      <c r="D485" s="7" t="str">
        <f>IF(B485=C485,"MATCH","MISMATCH")</f>
        <v>MATCH</v>
      </c>
      <c r="E485" s="7">
        <f>IF(F485="None",1,0)</f>
        <v>1</v>
      </c>
      <c r="F485" s="7" t="s">
        <v>17</v>
      </c>
      <c r="G485" s="7">
        <v>0</v>
      </c>
      <c r="H485" s="7">
        <v>0</v>
      </c>
      <c r="I485" s="7">
        <f>IF(AND(E485=0,G485=0),1,0)</f>
        <v>0</v>
      </c>
      <c r="J485" s="7">
        <f>IF(AND(E485=0,H485=0),1,0)</f>
        <v>0</v>
      </c>
      <c r="K485" s="7">
        <f>I485*'05 Methodology'!$B$7</f>
        <v>0</v>
      </c>
      <c r="L485" s="7">
        <f>J485*'05 Methodology'!$B$7</f>
        <v>0</v>
      </c>
      <c r="M485" s="7" t="str">
        <f>IF(G485=1,"FLAG / HOLD","INDEXED")</f>
        <v>INDEXED</v>
      </c>
      <c r="N485" s="1" t="str">
        <f>IF(H485=1,"FLAG / HOLD","INDEXED")</f>
        <v>INDEXED</v>
      </c>
      <c r="O485" s="1" t="s">
        <v>18</v>
      </c>
      <c r="P485" s="1" t="s">
        <v>19</v>
      </c>
      <c r="Q485" s="1"/>
      <c r="R485" s="1"/>
      <c r="S485" s="1"/>
      <c r="T485" s="1"/>
      <c r="U485" s="1"/>
    </row>
    <row r="486" spans="1:21" x14ac:dyDescent="0.2">
      <c r="A486" s="7" t="s">
        <v>506</v>
      </c>
      <c r="B486" s="7">
        <v>4</v>
      </c>
      <c r="C486" s="7">
        <v>4</v>
      </c>
      <c r="D486" s="7" t="str">
        <f>IF(B486=C486,"MATCH","MISMATCH")</f>
        <v>MATCH</v>
      </c>
      <c r="E486" s="7">
        <f>IF(F486="None",1,0)</f>
        <v>1</v>
      </c>
      <c r="F486" s="7" t="s">
        <v>17</v>
      </c>
      <c r="G486" s="7">
        <v>0</v>
      </c>
      <c r="H486" s="7">
        <v>0</v>
      </c>
      <c r="I486" s="7">
        <f>IF(AND(E486=0,G486=0),1,0)</f>
        <v>0</v>
      </c>
      <c r="J486" s="7">
        <f>IF(AND(E486=0,H486=0),1,0)</f>
        <v>0</v>
      </c>
      <c r="K486" s="7">
        <f>I486*'05 Methodology'!$B$7</f>
        <v>0</v>
      </c>
      <c r="L486" s="7">
        <f>J486*'05 Methodology'!$B$7</f>
        <v>0</v>
      </c>
      <c r="M486" s="7" t="str">
        <f>IF(G486=1,"FLAG / HOLD","INDEXED")</f>
        <v>INDEXED</v>
      </c>
      <c r="N486" s="1" t="str">
        <f>IF(H486=1,"FLAG / HOLD","INDEXED")</f>
        <v>INDEXED</v>
      </c>
      <c r="O486" s="1" t="s">
        <v>18</v>
      </c>
      <c r="P486" s="1" t="s">
        <v>19</v>
      </c>
      <c r="Q486" s="1"/>
      <c r="R486" s="1"/>
      <c r="S486" s="1"/>
      <c r="T486" s="1"/>
      <c r="U486" s="1"/>
    </row>
    <row r="487" spans="1:21" x14ac:dyDescent="0.2">
      <c r="A487" s="7" t="s">
        <v>507</v>
      </c>
      <c r="B487" s="7">
        <v>5</v>
      </c>
      <c r="C487" s="7">
        <v>4</v>
      </c>
      <c r="D487" s="7" t="str">
        <f>IF(B487=C487,"MATCH","MISMATCH")</f>
        <v>MISMATCH</v>
      </c>
      <c r="E487" s="7">
        <f>IF(F487="None",1,0)</f>
        <v>0</v>
      </c>
      <c r="F487" s="7" t="s">
        <v>38</v>
      </c>
      <c r="G487" s="7">
        <v>1</v>
      </c>
      <c r="H487" s="7">
        <v>1</v>
      </c>
      <c r="I487" s="7">
        <f>IF(AND(E487=0,G487=0),1,0)</f>
        <v>0</v>
      </c>
      <c r="J487" s="7">
        <f>IF(AND(E487=0,H487=0),1,0)</f>
        <v>0</v>
      </c>
      <c r="K487" s="7">
        <f>I487*'05 Methodology'!$B$7</f>
        <v>0</v>
      </c>
      <c r="L487" s="7">
        <f>J487*'05 Methodology'!$B$7</f>
        <v>0</v>
      </c>
      <c r="M487" s="7" t="str">
        <f>IF(G487=1,"FLAG / HOLD","INDEXED")</f>
        <v>FLAG / HOLD</v>
      </c>
      <c r="N487" s="1" t="str">
        <f>IF(H487=1,"FLAG / HOLD","INDEXED")</f>
        <v>FLAG / HOLD</v>
      </c>
      <c r="O487" s="1" t="s">
        <v>18</v>
      </c>
      <c r="P487" s="1" t="s">
        <v>19</v>
      </c>
      <c r="Q487" s="1"/>
      <c r="R487" s="1"/>
      <c r="S487" s="1"/>
      <c r="T487" s="1"/>
      <c r="U487" s="1"/>
    </row>
    <row r="488" spans="1:21" x14ac:dyDescent="0.2">
      <c r="A488" s="7" t="s">
        <v>508</v>
      </c>
      <c r="B488" s="7">
        <v>6</v>
      </c>
      <c r="C488" s="7">
        <v>6</v>
      </c>
      <c r="D488" s="7" t="str">
        <f>IF(B488=C488,"MATCH","MISMATCH")</f>
        <v>MATCH</v>
      </c>
      <c r="E488" s="7">
        <f>IF(F488="None",1,0)</f>
        <v>1</v>
      </c>
      <c r="F488" s="7" t="s">
        <v>17</v>
      </c>
      <c r="G488" s="7">
        <v>0</v>
      </c>
      <c r="H488" s="7">
        <v>0</v>
      </c>
      <c r="I488" s="7">
        <f>IF(AND(E488=0,G488=0),1,0)</f>
        <v>0</v>
      </c>
      <c r="J488" s="7">
        <f>IF(AND(E488=0,H488=0),1,0)</f>
        <v>0</v>
      </c>
      <c r="K488" s="7">
        <f>I488*'05 Methodology'!$B$7</f>
        <v>0</v>
      </c>
      <c r="L488" s="7">
        <f>J488*'05 Methodology'!$B$7</f>
        <v>0</v>
      </c>
      <c r="M488" s="7" t="str">
        <f>IF(G488=1,"FLAG / HOLD","INDEXED")</f>
        <v>INDEXED</v>
      </c>
      <c r="N488" s="1" t="str">
        <f>IF(H488=1,"FLAG / HOLD","INDEXED")</f>
        <v>INDEXED</v>
      </c>
      <c r="O488" s="1" t="s">
        <v>18</v>
      </c>
      <c r="P488" s="1" t="s">
        <v>19</v>
      </c>
      <c r="Q488" s="1"/>
      <c r="R488" s="1"/>
      <c r="S488" s="1"/>
      <c r="T488" s="1"/>
      <c r="U488" s="1"/>
    </row>
    <row r="489" spans="1:21" x14ac:dyDescent="0.2">
      <c r="A489" s="7" t="s">
        <v>509</v>
      </c>
      <c r="B489" s="7">
        <v>7</v>
      </c>
      <c r="C489" s="7">
        <v>7</v>
      </c>
      <c r="D489" s="7" t="str">
        <f>IF(B489=C489,"MATCH","MISMATCH")</f>
        <v>MATCH</v>
      </c>
      <c r="E489" s="7">
        <f>IF(F489="None",1,0)</f>
        <v>1</v>
      </c>
      <c r="F489" s="7" t="s">
        <v>17</v>
      </c>
      <c r="G489" s="7">
        <v>0</v>
      </c>
      <c r="H489" s="7">
        <v>0</v>
      </c>
      <c r="I489" s="7">
        <f>IF(AND(E489=0,G489=0),1,0)</f>
        <v>0</v>
      </c>
      <c r="J489" s="7">
        <f>IF(AND(E489=0,H489=0),1,0)</f>
        <v>0</v>
      </c>
      <c r="K489" s="7">
        <f>I489*'05 Methodology'!$B$7</f>
        <v>0</v>
      </c>
      <c r="L489" s="7">
        <f>J489*'05 Methodology'!$B$7</f>
        <v>0</v>
      </c>
      <c r="M489" s="7" t="str">
        <f>IF(G489=1,"FLAG / HOLD","INDEXED")</f>
        <v>INDEXED</v>
      </c>
      <c r="N489" s="1" t="str">
        <f>IF(H489=1,"FLAG / HOLD","INDEXED")</f>
        <v>INDEXED</v>
      </c>
      <c r="O489" s="1" t="s">
        <v>18</v>
      </c>
      <c r="P489" s="1" t="s">
        <v>19</v>
      </c>
      <c r="Q489" s="1"/>
      <c r="R489" s="1"/>
      <c r="S489" s="1"/>
      <c r="T489" s="1"/>
      <c r="U489" s="1"/>
    </row>
    <row r="490" spans="1:21" x14ac:dyDescent="0.2">
      <c r="A490" s="7" t="s">
        <v>510</v>
      </c>
      <c r="B490" s="7">
        <v>8</v>
      </c>
      <c r="C490" s="7">
        <v>8</v>
      </c>
      <c r="D490" s="7" t="str">
        <f>IF(B490=C490,"MATCH","MISMATCH")</f>
        <v>MATCH</v>
      </c>
      <c r="E490" s="7">
        <f>IF(F490="None",1,0)</f>
        <v>1</v>
      </c>
      <c r="F490" s="7" t="s">
        <v>17</v>
      </c>
      <c r="G490" s="7">
        <v>0</v>
      </c>
      <c r="H490" s="7">
        <v>0</v>
      </c>
      <c r="I490" s="7">
        <f>IF(AND(E490=0,G490=0),1,0)</f>
        <v>0</v>
      </c>
      <c r="J490" s="7">
        <f>IF(AND(E490=0,H490=0),1,0)</f>
        <v>0</v>
      </c>
      <c r="K490" s="7">
        <f>I490*'05 Methodology'!$B$7</f>
        <v>0</v>
      </c>
      <c r="L490" s="7">
        <f>J490*'05 Methodology'!$B$7</f>
        <v>0</v>
      </c>
      <c r="M490" s="7" t="str">
        <f>IF(G490=1,"FLAG / HOLD","INDEXED")</f>
        <v>INDEXED</v>
      </c>
      <c r="N490" s="1" t="str">
        <f>IF(H490=1,"FLAG / HOLD","INDEXED")</f>
        <v>INDEXED</v>
      </c>
      <c r="O490" s="1" t="s">
        <v>18</v>
      </c>
      <c r="P490" s="1" t="s">
        <v>19</v>
      </c>
      <c r="Q490" s="1"/>
      <c r="R490" s="1"/>
      <c r="S490" s="1"/>
      <c r="T490" s="1"/>
      <c r="U490" s="1"/>
    </row>
    <row r="491" spans="1:21" x14ac:dyDescent="0.2">
      <c r="A491" s="7" t="s">
        <v>511</v>
      </c>
      <c r="B491" s="7">
        <v>6</v>
      </c>
      <c r="C491" s="7">
        <v>6</v>
      </c>
      <c r="D491" s="7" t="str">
        <f>IF(B491=C491,"MATCH","MISMATCH")</f>
        <v>MATCH</v>
      </c>
      <c r="E491" s="7">
        <f>IF(F491="None",1,0)</f>
        <v>1</v>
      </c>
      <c r="F491" s="7" t="s">
        <v>17</v>
      </c>
      <c r="G491" s="7">
        <v>0</v>
      </c>
      <c r="H491" s="7">
        <v>0</v>
      </c>
      <c r="I491" s="7">
        <f>IF(AND(E491=0,G491=0),1,0)</f>
        <v>0</v>
      </c>
      <c r="J491" s="7">
        <f>IF(AND(E491=0,H491=0),1,0)</f>
        <v>0</v>
      </c>
      <c r="K491" s="7">
        <f>I491*'05 Methodology'!$B$7</f>
        <v>0</v>
      </c>
      <c r="L491" s="7">
        <f>J491*'05 Methodology'!$B$7</f>
        <v>0</v>
      </c>
      <c r="M491" s="7" t="str">
        <f>IF(G491=1,"FLAG / HOLD","INDEXED")</f>
        <v>INDEXED</v>
      </c>
      <c r="N491" s="1" t="str">
        <f>IF(H491=1,"FLAG / HOLD","INDEXED")</f>
        <v>INDEXED</v>
      </c>
      <c r="O491" s="1" t="s">
        <v>18</v>
      </c>
      <c r="P491" s="1" t="s">
        <v>19</v>
      </c>
      <c r="Q491" s="1"/>
      <c r="R491" s="1"/>
      <c r="S491" s="1"/>
      <c r="T491" s="1"/>
      <c r="U491" s="1"/>
    </row>
    <row r="492" spans="1:21" x14ac:dyDescent="0.2">
      <c r="A492" s="7" t="s">
        <v>512</v>
      </c>
      <c r="B492" s="7">
        <v>5</v>
      </c>
      <c r="C492" s="7">
        <v>5</v>
      </c>
      <c r="D492" s="7" t="str">
        <f>IF(B492=C492,"MATCH","MISMATCH")</f>
        <v>MATCH</v>
      </c>
      <c r="E492" s="7">
        <f>IF(F492="None",1,0)</f>
        <v>1</v>
      </c>
      <c r="F492" s="7" t="s">
        <v>17</v>
      </c>
      <c r="G492" s="7">
        <v>0</v>
      </c>
      <c r="H492" s="7">
        <v>0</v>
      </c>
      <c r="I492" s="7">
        <f>IF(AND(E492=0,G492=0),1,0)</f>
        <v>0</v>
      </c>
      <c r="J492" s="7">
        <f>IF(AND(E492=0,H492=0),1,0)</f>
        <v>0</v>
      </c>
      <c r="K492" s="7">
        <f>I492*'05 Methodology'!$B$7</f>
        <v>0</v>
      </c>
      <c r="L492" s="7">
        <f>J492*'05 Methodology'!$B$7</f>
        <v>0</v>
      </c>
      <c r="M492" s="7" t="str">
        <f>IF(G492=1,"FLAG / HOLD","INDEXED")</f>
        <v>INDEXED</v>
      </c>
      <c r="N492" s="1" t="str">
        <f>IF(H492=1,"FLAG / HOLD","INDEXED")</f>
        <v>INDEXED</v>
      </c>
      <c r="O492" s="1" t="s">
        <v>18</v>
      </c>
      <c r="P492" s="1" t="s">
        <v>19</v>
      </c>
      <c r="Q492" s="1"/>
      <c r="R492" s="1"/>
      <c r="S492" s="1"/>
      <c r="T492" s="1"/>
      <c r="U492" s="1"/>
    </row>
    <row r="493" spans="1:21" x14ac:dyDescent="0.2">
      <c r="A493" s="7" t="s">
        <v>513</v>
      </c>
      <c r="B493" s="7">
        <v>6</v>
      </c>
      <c r="C493" s="7">
        <v>6</v>
      </c>
      <c r="D493" s="7" t="str">
        <f>IF(B493=C493,"MATCH","MISMATCH")</f>
        <v>MATCH</v>
      </c>
      <c r="E493" s="7">
        <f>IF(F493="None",1,0)</f>
        <v>1</v>
      </c>
      <c r="F493" s="7" t="s">
        <v>17</v>
      </c>
      <c r="G493" s="7">
        <v>0</v>
      </c>
      <c r="H493" s="7">
        <v>0</v>
      </c>
      <c r="I493" s="7">
        <f>IF(AND(E493=0,G493=0),1,0)</f>
        <v>0</v>
      </c>
      <c r="J493" s="7">
        <f>IF(AND(E493=0,H493=0),1,0)</f>
        <v>0</v>
      </c>
      <c r="K493" s="7">
        <f>I493*'05 Methodology'!$B$7</f>
        <v>0</v>
      </c>
      <c r="L493" s="7">
        <f>J493*'05 Methodology'!$B$7</f>
        <v>0</v>
      </c>
      <c r="M493" s="7" t="str">
        <f>IF(G493=1,"FLAG / HOLD","INDEXED")</f>
        <v>INDEXED</v>
      </c>
      <c r="N493" s="1" t="str">
        <f>IF(H493=1,"FLAG / HOLD","INDEXED")</f>
        <v>INDEXED</v>
      </c>
      <c r="O493" s="1" t="s">
        <v>18</v>
      </c>
      <c r="P493" s="1" t="s">
        <v>19</v>
      </c>
      <c r="Q493" s="1"/>
      <c r="R493" s="1"/>
      <c r="S493" s="1"/>
      <c r="T493" s="1"/>
      <c r="U493" s="1"/>
    </row>
    <row r="494" spans="1:21" x14ac:dyDescent="0.2">
      <c r="A494" s="7" t="s">
        <v>514</v>
      </c>
      <c r="B494" s="7">
        <v>7</v>
      </c>
      <c r="C494" s="7">
        <v>7</v>
      </c>
      <c r="D494" s="7" t="str">
        <f>IF(B494=C494,"MATCH","MISMATCH")</f>
        <v>MATCH</v>
      </c>
      <c r="E494" s="7">
        <f>IF(F494="None",1,0)</f>
        <v>1</v>
      </c>
      <c r="F494" s="7" t="s">
        <v>17</v>
      </c>
      <c r="G494" s="7">
        <v>0</v>
      </c>
      <c r="H494" s="7">
        <v>0</v>
      </c>
      <c r="I494" s="7">
        <f>IF(AND(E494=0,G494=0),1,0)</f>
        <v>0</v>
      </c>
      <c r="J494" s="7">
        <f>IF(AND(E494=0,H494=0),1,0)</f>
        <v>0</v>
      </c>
      <c r="K494" s="7">
        <f>I494*'05 Methodology'!$B$7</f>
        <v>0</v>
      </c>
      <c r="L494" s="7">
        <f>J494*'05 Methodology'!$B$7</f>
        <v>0</v>
      </c>
      <c r="M494" s="7" t="str">
        <f>IF(G494=1,"FLAG / HOLD","INDEXED")</f>
        <v>INDEXED</v>
      </c>
      <c r="N494" s="1" t="str">
        <f>IF(H494=1,"FLAG / HOLD","INDEXED")</f>
        <v>INDEXED</v>
      </c>
      <c r="O494" s="1" t="s">
        <v>18</v>
      </c>
      <c r="P494" s="1" t="s">
        <v>19</v>
      </c>
      <c r="Q494" s="1"/>
      <c r="R494" s="1"/>
      <c r="S494" s="1"/>
      <c r="T494" s="1"/>
      <c r="U494" s="1"/>
    </row>
    <row r="495" spans="1:21" x14ac:dyDescent="0.2">
      <c r="A495" s="7" t="s">
        <v>515</v>
      </c>
      <c r="B495" s="7">
        <v>8</v>
      </c>
      <c r="C495" s="7">
        <v>8</v>
      </c>
      <c r="D495" s="7" t="str">
        <f>IF(B495=C495,"MATCH","MISMATCH")</f>
        <v>MATCH</v>
      </c>
      <c r="E495" s="7">
        <f>IF(F495="None",1,0)</f>
        <v>1</v>
      </c>
      <c r="F495" s="7" t="s">
        <v>17</v>
      </c>
      <c r="G495" s="7">
        <v>0</v>
      </c>
      <c r="H495" s="7">
        <v>0</v>
      </c>
      <c r="I495" s="7">
        <f>IF(AND(E495=0,G495=0),1,0)</f>
        <v>0</v>
      </c>
      <c r="J495" s="7">
        <f>IF(AND(E495=0,H495=0),1,0)</f>
        <v>0</v>
      </c>
      <c r="K495" s="7">
        <f>I495*'05 Methodology'!$B$7</f>
        <v>0</v>
      </c>
      <c r="L495" s="7">
        <f>J495*'05 Methodology'!$B$7</f>
        <v>0</v>
      </c>
      <c r="M495" s="7" t="str">
        <f>IF(G495=1,"FLAG / HOLD","INDEXED")</f>
        <v>INDEXED</v>
      </c>
      <c r="N495" s="1" t="str">
        <f>IF(H495=1,"FLAG / HOLD","INDEXED")</f>
        <v>INDEXED</v>
      </c>
      <c r="O495" s="1" t="s">
        <v>18</v>
      </c>
      <c r="P495" s="1" t="s">
        <v>19</v>
      </c>
      <c r="Q495" s="1"/>
      <c r="R495" s="1"/>
      <c r="S495" s="1"/>
      <c r="T495" s="1"/>
      <c r="U495" s="1"/>
    </row>
    <row r="496" spans="1:21" x14ac:dyDescent="0.2">
      <c r="A496" s="7" t="s">
        <v>516</v>
      </c>
      <c r="B496" s="7">
        <v>4</v>
      </c>
      <c r="C496" s="7">
        <v>4</v>
      </c>
      <c r="D496" s="7" t="str">
        <f>IF(B496=C496,"MATCH","MISMATCH")</f>
        <v>MATCH</v>
      </c>
      <c r="E496" s="7">
        <f>IF(F496="None",1,0)</f>
        <v>1</v>
      </c>
      <c r="F496" s="7" t="s">
        <v>17</v>
      </c>
      <c r="G496" s="7">
        <v>0</v>
      </c>
      <c r="H496" s="7">
        <v>0</v>
      </c>
      <c r="I496" s="7">
        <f>IF(AND(E496=0,G496=0),1,0)</f>
        <v>0</v>
      </c>
      <c r="J496" s="7">
        <f>IF(AND(E496=0,H496=0),1,0)</f>
        <v>0</v>
      </c>
      <c r="K496" s="7">
        <f>I496*'05 Methodology'!$B$7</f>
        <v>0</v>
      </c>
      <c r="L496" s="7">
        <f>J496*'05 Methodology'!$B$7</f>
        <v>0</v>
      </c>
      <c r="M496" s="7" t="str">
        <f>IF(G496=1,"FLAG / HOLD","INDEXED")</f>
        <v>INDEXED</v>
      </c>
      <c r="N496" s="1" t="str">
        <f>IF(H496=1,"FLAG / HOLD","INDEXED")</f>
        <v>INDEXED</v>
      </c>
      <c r="O496" s="1" t="s">
        <v>18</v>
      </c>
      <c r="P496" s="1" t="s">
        <v>19</v>
      </c>
      <c r="Q496" s="1"/>
      <c r="R496" s="1"/>
      <c r="S496" s="1"/>
      <c r="T496" s="1"/>
      <c r="U496" s="1"/>
    </row>
    <row r="497" spans="1:21" x14ac:dyDescent="0.2">
      <c r="A497" s="7" t="s">
        <v>517</v>
      </c>
      <c r="B497" s="7">
        <v>5</v>
      </c>
      <c r="C497" s="7">
        <v>5</v>
      </c>
      <c r="D497" s="7" t="str">
        <f>IF(B497=C497,"MATCH","MISMATCH")</f>
        <v>MATCH</v>
      </c>
      <c r="E497" s="7">
        <f>IF(F497="None",1,0)</f>
        <v>1</v>
      </c>
      <c r="F497" s="7" t="s">
        <v>17</v>
      </c>
      <c r="G497" s="7">
        <v>0</v>
      </c>
      <c r="H497" s="7">
        <v>0</v>
      </c>
      <c r="I497" s="7">
        <f>IF(AND(E497=0,G497=0),1,0)</f>
        <v>0</v>
      </c>
      <c r="J497" s="7">
        <f>IF(AND(E497=0,H497=0),1,0)</f>
        <v>0</v>
      </c>
      <c r="K497" s="7">
        <f>I497*'05 Methodology'!$B$7</f>
        <v>0</v>
      </c>
      <c r="L497" s="7">
        <f>J497*'05 Methodology'!$B$7</f>
        <v>0</v>
      </c>
      <c r="M497" s="7" t="str">
        <f>IF(G497=1,"FLAG / HOLD","INDEXED")</f>
        <v>INDEXED</v>
      </c>
      <c r="N497" s="1" t="str">
        <f>IF(H497=1,"FLAG / HOLD","INDEXED")</f>
        <v>INDEXED</v>
      </c>
      <c r="O497" s="1" t="s">
        <v>18</v>
      </c>
      <c r="P497" s="1" t="s">
        <v>19</v>
      </c>
      <c r="Q497" s="1"/>
      <c r="R497" s="1"/>
      <c r="S497" s="1"/>
      <c r="T497" s="1"/>
      <c r="U497" s="1"/>
    </row>
    <row r="498" spans="1:21" x14ac:dyDescent="0.2">
      <c r="A498" s="7" t="s">
        <v>518</v>
      </c>
      <c r="B498" s="7">
        <v>6</v>
      </c>
      <c r="C498" s="7">
        <v>6</v>
      </c>
      <c r="D498" s="7" t="str">
        <f>IF(B498=C498,"MATCH","MISMATCH")</f>
        <v>MATCH</v>
      </c>
      <c r="E498" s="7">
        <f>IF(F498="None",1,0)</f>
        <v>1</v>
      </c>
      <c r="F498" s="7" t="s">
        <v>17</v>
      </c>
      <c r="G498" s="7">
        <v>0</v>
      </c>
      <c r="H498" s="7">
        <v>0</v>
      </c>
      <c r="I498" s="7">
        <f>IF(AND(E498=0,G498=0),1,0)</f>
        <v>0</v>
      </c>
      <c r="J498" s="7">
        <f>IF(AND(E498=0,H498=0),1,0)</f>
        <v>0</v>
      </c>
      <c r="K498" s="7">
        <f>I498*'05 Methodology'!$B$7</f>
        <v>0</v>
      </c>
      <c r="L498" s="7">
        <f>J498*'05 Methodology'!$B$7</f>
        <v>0</v>
      </c>
      <c r="M498" s="7" t="str">
        <f>IF(G498=1,"FLAG / HOLD","INDEXED")</f>
        <v>INDEXED</v>
      </c>
      <c r="N498" s="1" t="str">
        <f>IF(H498=1,"FLAG / HOLD","INDEXED")</f>
        <v>INDEXED</v>
      </c>
      <c r="O498" s="1" t="s">
        <v>18</v>
      </c>
      <c r="P498" s="1" t="s">
        <v>19</v>
      </c>
      <c r="Q498" s="1"/>
      <c r="R498" s="1"/>
      <c r="S498" s="1"/>
      <c r="T498" s="1"/>
      <c r="U498" s="1"/>
    </row>
    <row r="499" spans="1:21" x14ac:dyDescent="0.2">
      <c r="A499" s="7" t="s">
        <v>519</v>
      </c>
      <c r="B499" s="7">
        <v>7</v>
      </c>
      <c r="C499" s="7">
        <v>7</v>
      </c>
      <c r="D499" s="7" t="str">
        <f>IF(B499=C499,"MATCH","MISMATCH")</f>
        <v>MATCH</v>
      </c>
      <c r="E499" s="7">
        <f>IF(F499="None",1,0)</f>
        <v>1</v>
      </c>
      <c r="F499" s="7" t="s">
        <v>17</v>
      </c>
      <c r="G499" s="7">
        <v>0</v>
      </c>
      <c r="H499" s="7">
        <v>0</v>
      </c>
      <c r="I499" s="7">
        <f>IF(AND(E499=0,G499=0),1,0)</f>
        <v>0</v>
      </c>
      <c r="J499" s="7">
        <f>IF(AND(E499=0,H499=0),1,0)</f>
        <v>0</v>
      </c>
      <c r="K499" s="7">
        <f>I499*'05 Methodology'!$B$7</f>
        <v>0</v>
      </c>
      <c r="L499" s="7">
        <f>J499*'05 Methodology'!$B$7</f>
        <v>0</v>
      </c>
      <c r="M499" s="7" t="str">
        <f>IF(G499=1,"FLAG / HOLD","INDEXED")</f>
        <v>INDEXED</v>
      </c>
      <c r="N499" s="1" t="str">
        <f>IF(H499=1,"FLAG / HOLD","INDEXED")</f>
        <v>INDEXED</v>
      </c>
      <c r="O499" s="1" t="s">
        <v>18</v>
      </c>
      <c r="P499" s="1" t="s">
        <v>19</v>
      </c>
      <c r="Q499" s="1"/>
      <c r="R499" s="1"/>
      <c r="S499" s="1"/>
      <c r="T499" s="1"/>
      <c r="U499" s="1"/>
    </row>
    <row r="500" spans="1:21" x14ac:dyDescent="0.2">
      <c r="A500" s="7" t="s">
        <v>520</v>
      </c>
      <c r="B500" s="7">
        <v>8</v>
      </c>
      <c r="C500" s="7">
        <v>8</v>
      </c>
      <c r="D500" s="7" t="str">
        <f>IF(B500=C500,"MATCH","MISMATCH")</f>
        <v>MATCH</v>
      </c>
      <c r="E500" s="7">
        <f>IF(F500="None",1,0)</f>
        <v>1</v>
      </c>
      <c r="F500" s="7" t="s">
        <v>17</v>
      </c>
      <c r="G500" s="7">
        <v>0</v>
      </c>
      <c r="H500" s="7">
        <v>0</v>
      </c>
      <c r="I500" s="7">
        <f>IF(AND(E500=0,G500=0),1,0)</f>
        <v>0</v>
      </c>
      <c r="J500" s="7">
        <f>IF(AND(E500=0,H500=0),1,0)</f>
        <v>0</v>
      </c>
      <c r="K500" s="7">
        <f>I500*'05 Methodology'!$B$7</f>
        <v>0</v>
      </c>
      <c r="L500" s="7">
        <f>J500*'05 Methodology'!$B$7</f>
        <v>0</v>
      </c>
      <c r="M500" s="7" t="str">
        <f>IF(G500=1,"FLAG / HOLD","INDEXED")</f>
        <v>INDEXED</v>
      </c>
      <c r="N500" s="1" t="str">
        <f>IF(H500=1,"FLAG / HOLD","INDEXED")</f>
        <v>INDEXED</v>
      </c>
      <c r="O500" s="1" t="s">
        <v>18</v>
      </c>
      <c r="P500" s="1" t="s">
        <v>19</v>
      </c>
      <c r="Q500" s="1"/>
      <c r="R500" s="1"/>
      <c r="S500" s="1"/>
      <c r="T500" s="1"/>
      <c r="U500" s="1"/>
    </row>
    <row r="501" spans="1:21" x14ac:dyDescent="0.2">
      <c r="A501" s="7" t="s">
        <v>521</v>
      </c>
      <c r="B501" s="7">
        <v>4</v>
      </c>
      <c r="C501" s="7">
        <v>4</v>
      </c>
      <c r="D501" s="7" t="str">
        <f>IF(B501=C501,"MATCH","MISMATCH")</f>
        <v>MATCH</v>
      </c>
      <c r="E501" s="7">
        <f>IF(F501="None",1,0)</f>
        <v>1</v>
      </c>
      <c r="F501" s="7" t="s">
        <v>17</v>
      </c>
      <c r="G501" s="7">
        <v>0</v>
      </c>
      <c r="H501" s="7">
        <v>0</v>
      </c>
      <c r="I501" s="7">
        <f>IF(AND(E501=0,G501=0),1,0)</f>
        <v>0</v>
      </c>
      <c r="J501" s="7">
        <f>IF(AND(E501=0,H501=0),1,0)</f>
        <v>0</v>
      </c>
      <c r="K501" s="7">
        <f>I501*'05 Methodology'!$B$7</f>
        <v>0</v>
      </c>
      <c r="L501" s="7">
        <f>J501*'05 Methodology'!$B$7</f>
        <v>0</v>
      </c>
      <c r="M501" s="7" t="str">
        <f>IF(G501=1,"FLAG / HOLD","INDEXED")</f>
        <v>INDEXED</v>
      </c>
      <c r="N501" s="1" t="str">
        <f>IF(H501=1,"FLAG / HOLD","INDEXED")</f>
        <v>INDEXED</v>
      </c>
      <c r="O501" s="1" t="s">
        <v>18</v>
      </c>
      <c r="P501" s="1" t="s">
        <v>19</v>
      </c>
      <c r="Q501" s="1"/>
      <c r="R501" s="1"/>
      <c r="S501" s="1"/>
      <c r="T501" s="1"/>
      <c r="U501" s="1"/>
    </row>
    <row r="502" spans="1:2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5"/>
  <sheetViews>
    <sheetView zoomScaleNormal="60" zoomScaleSheetLayoutView="100" workbookViewId="0"/>
  </sheetViews>
  <sheetFormatPr defaultRowHeight="15" x14ac:dyDescent="0.2"/>
  <cols>
    <col min="1" max="1" width="29.0546875" customWidth="1"/>
    <col min="2" max="4" width="22.05859375" customWidth="1"/>
  </cols>
  <sheetData>
    <row r="1" spans="1:21" ht="32.1" customHeight="1" x14ac:dyDescent="0.25">
      <c r="A1" s="8" t="s">
        <v>522</v>
      </c>
      <c r="B1" s="8"/>
      <c r="C1" s="8"/>
      <c r="D1" s="8"/>
      <c r="E1" s="12"/>
      <c r="F1" s="12"/>
      <c r="G1" s="12"/>
      <c r="H1" s="1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">
      <c r="A2" s="6"/>
      <c r="B2" s="6"/>
      <c r="C2" s="6"/>
      <c r="D2" s="6"/>
      <c r="E2" s="6"/>
      <c r="F2" s="6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30" customHeight="1" x14ac:dyDescent="0.2">
      <c r="A3" s="13" t="s">
        <v>523</v>
      </c>
      <c r="B3" s="13" t="s">
        <v>524</v>
      </c>
      <c r="C3" s="13" t="s">
        <v>525</v>
      </c>
      <c r="D3" s="13" t="s">
        <v>526</v>
      </c>
      <c r="E3" s="6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">
      <c r="A4" s="7" t="s">
        <v>527</v>
      </c>
      <c r="B4" s="7">
        <f>COUNTA('01 Synthetic Records'!A2:A501)</f>
        <v>500</v>
      </c>
      <c r="C4" s="7">
        <f>B4</f>
        <v>500</v>
      </c>
      <c r="D4" s="7" t="str">
        <f>IF(AND(ABS(B4-500)&lt;0.00001,ABS(C4-500)&lt;0.00001),"PASS","FAIL")</f>
        <v>PASS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">
      <c r="A5" s="7" t="s">
        <v>528</v>
      </c>
      <c r="B5" s="7">
        <f>COUNTIF('01 Synthetic Records'!E2:E501,0)</f>
        <v>40</v>
      </c>
      <c r="C5" s="7">
        <f>B5</f>
        <v>40</v>
      </c>
      <c r="D5" s="7" t="str">
        <f>IF(AND(ABS(B5-40)&lt;0.00001,ABS(C5-40)&lt;0.00001),"PASS","FAIL")</f>
        <v>PASS</v>
      </c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">
      <c r="A6" s="9" t="s">
        <v>529</v>
      </c>
      <c r="B6" s="9">
        <f>SUM('01 Synthetic Records'!G2:G501)</f>
        <v>25</v>
      </c>
      <c r="C6" s="9">
        <f>SUM('01 Synthetic Records'!H2:H501)</f>
        <v>38</v>
      </c>
      <c r="D6" s="9" t="str">
        <f>IF(AND(ABS(B6-25)&lt;0.00001,ABS(C6-38)&lt;0.00001),"PASS","FAIL")</f>
        <v>PASS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">
      <c r="A7" s="7" t="s">
        <v>530</v>
      </c>
      <c r="B7" s="7">
        <f>SUM('01 Synthetic Records'!I2:I501)</f>
        <v>15</v>
      </c>
      <c r="C7" s="7">
        <f>SUM('01 Synthetic Records'!J2:J501)</f>
        <v>2</v>
      </c>
      <c r="D7" s="7" t="str">
        <f>IF(AND(ABS(B7-15)&lt;0.00001,ABS(C7-2)&lt;0.00001),"PASS","FAIL")</f>
        <v>PASS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">
      <c r="A8" s="7" t="s">
        <v>531</v>
      </c>
      <c r="B8" s="10">
        <f>IFERROR(B6/B5,0)</f>
        <v>0.625</v>
      </c>
      <c r="C8" s="10">
        <f>IFERROR(C6/C5,0)</f>
        <v>0.95</v>
      </c>
      <c r="D8" s="7" t="str">
        <f>IF(AND(ABS(B8-0.625)&lt;0.00001,ABS(C8-0.95)&lt;0.00001),"PASS","FAIL")</f>
        <v>PASS</v>
      </c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">
      <c r="A9" s="7" t="s">
        <v>532</v>
      </c>
      <c r="B9" s="10">
        <f>IFERROR(B7/B5,0)</f>
        <v>0.375</v>
      </c>
      <c r="C9" s="10">
        <f>IFERROR(C7/C5,0)</f>
        <v>0.05</v>
      </c>
      <c r="D9" s="7" t="str">
        <f>IF(AND(ABS(B9-0.375)&lt;0.00001,ABS(C9-0.05)&lt;0.00001),"PASS","FAIL")</f>
        <v>PASS</v>
      </c>
      <c r="E9" s="7"/>
      <c r="F9" s="7"/>
      <c r="G9" s="7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">
      <c r="A10" s="9" t="s">
        <v>533</v>
      </c>
      <c r="B10" s="14">
        <f>SUM('01 Synthetic Records'!K2:K501)/60</f>
        <v>5</v>
      </c>
      <c r="C10" s="14">
        <f>SUM('01 Synthetic Records'!L2:L501)/60</f>
        <v>0.66666666666666663</v>
      </c>
      <c r="D10" s="9" t="str">
        <f>IF(AND(ABS(B10-5)&lt;0.00001,ABS(C10-0.666666666666666)&lt;0.00001),"PASS","FAIL")</f>
        <v>PASS</v>
      </c>
      <c r="E10" s="7"/>
      <c r="F10" s="7"/>
      <c r="G10" s="7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7" t="s">
        <v>534</v>
      </c>
      <c r="B11" s="10">
        <f>IFERROR(B5/B4,0)</f>
        <v>0.08</v>
      </c>
      <c r="C11" s="10">
        <f>IFERROR(C5/C4,0)</f>
        <v>0.08</v>
      </c>
      <c r="D11" s="7" t="str">
        <f>IF(AND(B6+B7=B5,C6+C7=C5),"PASS","FAIL")</f>
        <v>PASS</v>
      </c>
      <c r="E11" s="7"/>
      <c r="F11" s="7"/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7" t="s">
        <v>535</v>
      </c>
      <c r="B12" s="10">
        <f>1-B11</f>
        <v>0.92</v>
      </c>
      <c r="C12" s="10">
        <f>1-C11</f>
        <v>0.92</v>
      </c>
      <c r="D12" s="7" t="str">
        <f>IF(AND(B11=C11,B12=C12),"PASS","FAIL")</f>
        <v>PASS</v>
      </c>
      <c r="E12" s="7"/>
      <c r="F12" s="7"/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7" t="s">
        <v>536</v>
      </c>
      <c r="B13" s="11">
        <f>B10-C10</f>
        <v>4.333333333333333</v>
      </c>
      <c r="C13" s="11">
        <f>B10-C10</f>
        <v>4.333333333333333</v>
      </c>
      <c r="D13" s="7"/>
      <c r="E13" s="7"/>
      <c r="F13" s="7"/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9"/>
      <c r="B14" s="9"/>
      <c r="C14" s="9"/>
      <c r="D14" s="9"/>
      <c r="E14" s="7"/>
      <c r="F14" s="7"/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7"/>
      <c r="B15" s="7"/>
      <c r="C15" s="7"/>
      <c r="D15" s="7"/>
      <c r="E15" s="7"/>
      <c r="F15" s="7"/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7" t="s">
        <v>537</v>
      </c>
      <c r="B16" s="7" t="s">
        <v>538</v>
      </c>
      <c r="C16" s="7"/>
      <c r="D16" s="7"/>
      <c r="E16" s="7"/>
      <c r="F16" s="7"/>
      <c r="G16" s="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7" t="s">
        <v>539</v>
      </c>
      <c r="B17" s="7" t="s">
        <v>540</v>
      </c>
      <c r="C17" s="7"/>
      <c r="D17" s="7"/>
      <c r="E17" s="7"/>
      <c r="F17" s="7"/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9"/>
      <c r="B18" s="9"/>
      <c r="C18" s="9"/>
      <c r="D18" s="9"/>
      <c r="E18" s="7"/>
      <c r="F18" s="7"/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7"/>
      <c r="B19" s="7"/>
      <c r="C19" s="7"/>
      <c r="D19" s="7"/>
      <c r="E19" s="7"/>
      <c r="F19" s="7"/>
      <c r="G19" s="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7"/>
      <c r="B20" s="7"/>
      <c r="C20" s="7"/>
      <c r="D20" s="7"/>
      <c r="E20" s="7"/>
      <c r="F20" s="7"/>
      <c r="G20" s="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7"/>
      <c r="B21" s="7"/>
      <c r="C21" s="7"/>
      <c r="D21" s="7"/>
      <c r="E21" s="7"/>
      <c r="F21" s="7"/>
      <c r="G21" s="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9"/>
      <c r="B22" s="9"/>
      <c r="C22" s="9"/>
      <c r="D22" s="9"/>
      <c r="E22" s="7"/>
      <c r="F22" s="7"/>
      <c r="G22" s="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7"/>
      <c r="B23" s="7"/>
      <c r="C23" s="7"/>
      <c r="D23" s="7"/>
      <c r="E23" s="7"/>
      <c r="F23" s="7"/>
      <c r="G23" s="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7"/>
      <c r="B24" s="7"/>
      <c r="C24" s="7"/>
      <c r="D24" s="7"/>
      <c r="E24" s="7"/>
      <c r="F24" s="7"/>
      <c r="G24" s="7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">
      <c r="A25" s="7"/>
      <c r="B25" s="7"/>
      <c r="C25" s="7"/>
      <c r="D25" s="7"/>
      <c r="E25" s="7"/>
      <c r="F25" s="7"/>
      <c r="G25" s="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7"/>
      <c r="B26" s="7"/>
      <c r="C26" s="7"/>
      <c r="D26" s="7"/>
      <c r="E26" s="7"/>
      <c r="F26" s="7"/>
      <c r="G26" s="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7"/>
      <c r="B27" s="7"/>
      <c r="C27" s="7"/>
      <c r="D27" s="7"/>
      <c r="E27" s="7"/>
      <c r="F27" s="7"/>
      <c r="G27" s="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7"/>
      <c r="B28" s="7"/>
      <c r="C28" s="7"/>
      <c r="D28" s="7"/>
      <c r="E28" s="7"/>
      <c r="F28" s="7"/>
      <c r="G28" s="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7"/>
      <c r="B29" s="7"/>
      <c r="C29" s="7"/>
      <c r="D29" s="7"/>
      <c r="E29" s="7"/>
      <c r="F29" s="7"/>
      <c r="G29" s="7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7"/>
      <c r="B30" s="7"/>
      <c r="C30" s="7"/>
      <c r="D30" s="7"/>
      <c r="E30" s="7"/>
      <c r="F30" s="7"/>
      <c r="G30" s="7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7"/>
      <c r="B31" s="7"/>
      <c r="C31" s="7"/>
      <c r="D31" s="7"/>
      <c r="E31" s="7"/>
      <c r="F31" s="7"/>
      <c r="G31" s="7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7"/>
      <c r="B32" s="7"/>
      <c r="C32" s="7"/>
      <c r="D32" s="7"/>
      <c r="E32" s="7"/>
      <c r="F32" s="7"/>
      <c r="G32" s="7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7"/>
      <c r="B33" s="7"/>
      <c r="C33" s="7"/>
      <c r="D33" s="7"/>
      <c r="E33" s="7"/>
      <c r="F33" s="7"/>
      <c r="G33" s="7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7"/>
      <c r="B34" s="7"/>
      <c r="C34" s="7"/>
      <c r="D34" s="7"/>
      <c r="E34" s="7"/>
      <c r="F34" s="7"/>
      <c r="G34" s="7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7"/>
      <c r="B35" s="7"/>
      <c r="C35" s="7"/>
      <c r="D35" s="7"/>
      <c r="E35" s="7"/>
      <c r="F35" s="7"/>
      <c r="G35" s="7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7"/>
      <c r="B36" s="7"/>
      <c r="C36" s="7"/>
      <c r="D36" s="7"/>
      <c r="E36" s="7"/>
      <c r="F36" s="7"/>
      <c r="G36" s="7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7"/>
      <c r="B37" s="7"/>
      <c r="C37" s="7"/>
      <c r="D37" s="7"/>
      <c r="E37" s="7"/>
      <c r="F37" s="7"/>
      <c r="G37" s="7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7"/>
      <c r="B38" s="7"/>
      <c r="C38" s="7"/>
      <c r="D38" s="7"/>
      <c r="E38" s="7"/>
      <c r="F38" s="7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7"/>
      <c r="B39" s="7"/>
      <c r="C39" s="7"/>
      <c r="D39" s="7"/>
      <c r="E39" s="7"/>
      <c r="F39" s="7"/>
      <c r="G39" s="7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7"/>
      <c r="B40" s="7"/>
      <c r="C40" s="7"/>
      <c r="D40" s="7"/>
      <c r="E40" s="7"/>
      <c r="F40" s="7"/>
      <c r="G40" s="7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7"/>
      <c r="B41" s="7"/>
      <c r="C41" s="7"/>
      <c r="D41" s="7"/>
      <c r="E41" s="7"/>
      <c r="F41" s="7"/>
      <c r="G41" s="7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7"/>
      <c r="B42" s="7"/>
      <c r="C42" s="7"/>
      <c r="D42" s="7"/>
      <c r="E42" s="7"/>
      <c r="F42" s="7"/>
      <c r="G42" s="7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7"/>
      <c r="B43" s="7"/>
      <c r="C43" s="7"/>
      <c r="D43" s="7"/>
      <c r="E43" s="7"/>
      <c r="F43" s="7"/>
      <c r="G43" s="7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7"/>
      <c r="B44" s="7"/>
      <c r="C44" s="7"/>
      <c r="D44" s="7"/>
      <c r="E44" s="7"/>
      <c r="F44" s="7"/>
      <c r="G44" s="7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7"/>
      <c r="B45" s="7"/>
      <c r="C45" s="7"/>
      <c r="D45" s="7"/>
      <c r="E45" s="7"/>
      <c r="F45" s="7"/>
      <c r="G45" s="7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0" width="18.96484375" customWidth="1"/>
  </cols>
  <sheetData>
    <row r="1" spans="1:21" ht="32.1" customHeight="1" x14ac:dyDescent="0.25">
      <c r="A1" s="8" t="s">
        <v>0</v>
      </c>
      <c r="B1" s="8" t="s">
        <v>5</v>
      </c>
      <c r="C1" s="8" t="s">
        <v>541</v>
      </c>
      <c r="D1" s="8" t="s">
        <v>542</v>
      </c>
      <c r="E1" s="8" t="s">
        <v>6</v>
      </c>
      <c r="F1" s="8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">
      <c r="A2" s="9" t="str">
        <f>'01 Synthetic Records'!A6</f>
        <v>SYN-0005</v>
      </c>
      <c r="B2" s="9" t="str">
        <f>'01 Synthetic Records'!F6</f>
        <v>Content missing / wrong page</v>
      </c>
      <c r="C2" s="9">
        <f>'01 Synthetic Records'!B6</f>
        <v>4</v>
      </c>
      <c r="D2" s="9">
        <f>'01 Synthetic Records'!C6</f>
        <v>4</v>
      </c>
      <c r="E2" s="9">
        <f>'01 Synthetic Records'!G6</f>
        <v>1</v>
      </c>
      <c r="F2" s="9">
        <f>'01 Synthetic Records'!H6</f>
        <v>1</v>
      </c>
      <c r="G2" s="4">
        <f>'01 Synthetic Records'!I6</f>
        <v>0</v>
      </c>
      <c r="H2" s="4">
        <f>'01 Synthetic Records'!J6</f>
        <v>0</v>
      </c>
      <c r="I2" s="4">
        <f>'01 Synthetic Records'!K6</f>
        <v>0</v>
      </c>
      <c r="J2" s="4">
        <f>'01 Synthetic Records'!L6</f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">
      <c r="A3" s="7" t="str">
        <f>'01 Synthetic Records'!A11</f>
        <v>SYN-0010</v>
      </c>
      <c r="B3" s="7" t="str">
        <f>'01 Synthetic Records'!F11</f>
        <v>Content missing / wrong page</v>
      </c>
      <c r="C3" s="7">
        <f>'01 Synthetic Records'!B11</f>
        <v>4</v>
      </c>
      <c r="D3" s="7">
        <f>'01 Synthetic Records'!C11</f>
        <v>4</v>
      </c>
      <c r="E3" s="7">
        <f>'01 Synthetic Records'!G11</f>
        <v>1</v>
      </c>
      <c r="F3" s="7">
        <f>'01 Synthetic Records'!H11</f>
        <v>1</v>
      </c>
      <c r="G3" s="1">
        <f>'01 Synthetic Records'!I11</f>
        <v>0</v>
      </c>
      <c r="H3" s="1">
        <f>'01 Synthetic Records'!J11</f>
        <v>0</v>
      </c>
      <c r="I3" s="1">
        <f>'01 Synthetic Records'!K11</f>
        <v>0</v>
      </c>
      <c r="J3" s="1">
        <f>'01 Synthetic Records'!L11</f>
        <v>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7" t="str">
        <f>'01 Synthetic Records'!A18</f>
        <v>SYN-0017</v>
      </c>
      <c r="B4" s="7" t="str">
        <f>'01 Synthetic Records'!F18</f>
        <v>Missing page</v>
      </c>
      <c r="C4" s="7">
        <f>'01 Synthetic Records'!B18</f>
        <v>6</v>
      </c>
      <c r="D4" s="7">
        <f>'01 Synthetic Records'!C18</f>
        <v>5</v>
      </c>
      <c r="E4" s="7">
        <f>'01 Synthetic Records'!G18</f>
        <v>0</v>
      </c>
      <c r="F4" s="7">
        <f>'01 Synthetic Records'!H18</f>
        <v>1</v>
      </c>
      <c r="G4" s="1">
        <f>'01 Synthetic Records'!I18</f>
        <v>1</v>
      </c>
      <c r="H4" s="1">
        <f>'01 Synthetic Records'!J18</f>
        <v>0</v>
      </c>
      <c r="I4" s="1">
        <f>'01 Synthetic Records'!K18</f>
        <v>20</v>
      </c>
      <c r="J4" s="1">
        <f>'01 Synthetic Records'!L18</f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">
      <c r="A5" s="7" t="str">
        <f>'01 Synthetic Records'!A32</f>
        <v>SYN-0031</v>
      </c>
      <c r="B5" s="7" t="str">
        <f>'01 Synthetic Records'!F32</f>
        <v>Missing page</v>
      </c>
      <c r="C5" s="7">
        <f>'01 Synthetic Records'!B32</f>
        <v>5</v>
      </c>
      <c r="D5" s="7">
        <f>'01 Synthetic Records'!C32</f>
        <v>4</v>
      </c>
      <c r="E5" s="7">
        <f>'01 Synthetic Records'!G32</f>
        <v>0</v>
      </c>
      <c r="F5" s="7">
        <f>'01 Synthetic Records'!H32</f>
        <v>1</v>
      </c>
      <c r="G5" s="1">
        <f>'01 Synthetic Records'!I32</f>
        <v>1</v>
      </c>
      <c r="H5" s="1">
        <f>'01 Synthetic Records'!J32</f>
        <v>0</v>
      </c>
      <c r="I5" s="1">
        <f>'01 Synthetic Records'!K32</f>
        <v>20</v>
      </c>
      <c r="J5" s="1">
        <f>'01 Synthetic Records'!L32</f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">
      <c r="A6" s="7" t="str">
        <f>'01 Synthetic Records'!A63</f>
        <v>SYN-0062</v>
      </c>
      <c r="B6" s="7" t="str">
        <f>'01 Synthetic Records'!F63</f>
        <v>Missing page</v>
      </c>
      <c r="C6" s="7">
        <f>'01 Synthetic Records'!B63</f>
        <v>6</v>
      </c>
      <c r="D6" s="7">
        <f>'01 Synthetic Records'!C63</f>
        <v>5</v>
      </c>
      <c r="E6" s="7">
        <f>'01 Synthetic Records'!G63</f>
        <v>1</v>
      </c>
      <c r="F6" s="7">
        <f>'01 Synthetic Records'!H63</f>
        <v>1</v>
      </c>
      <c r="G6" s="1">
        <f>'01 Synthetic Records'!I63</f>
        <v>0</v>
      </c>
      <c r="H6" s="1">
        <f>'01 Synthetic Records'!J63</f>
        <v>0</v>
      </c>
      <c r="I6" s="1">
        <f>'01 Synthetic Records'!K63</f>
        <v>0</v>
      </c>
      <c r="J6" s="1">
        <f>'01 Synthetic Records'!L63</f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">
      <c r="A7" s="7" t="str">
        <f>'01 Synthetic Records'!A78</f>
        <v>SYN-0077</v>
      </c>
      <c r="B7" s="7" t="str">
        <f>'01 Synthetic Records'!F78</f>
        <v>Missing page</v>
      </c>
      <c r="C7" s="7">
        <f>'01 Synthetic Records'!B78</f>
        <v>6</v>
      </c>
      <c r="D7" s="7">
        <f>'01 Synthetic Records'!C78</f>
        <v>5</v>
      </c>
      <c r="E7" s="7">
        <f>'01 Synthetic Records'!G78</f>
        <v>1</v>
      </c>
      <c r="F7" s="7">
        <f>'01 Synthetic Records'!H78</f>
        <v>1</v>
      </c>
      <c r="G7" s="1">
        <f>'01 Synthetic Records'!I78</f>
        <v>0</v>
      </c>
      <c r="H7" s="1">
        <f>'01 Synthetic Records'!J78</f>
        <v>0</v>
      </c>
      <c r="I7" s="1">
        <f>'01 Synthetic Records'!K78</f>
        <v>0</v>
      </c>
      <c r="J7" s="1">
        <f>'01 Synthetic Records'!L78</f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">
      <c r="A8" s="7" t="str">
        <f>'01 Synthetic Records'!A81</f>
        <v>SYN-0080</v>
      </c>
      <c r="B8" s="7" t="str">
        <f>'01 Synthetic Records'!F81</f>
        <v>Content missing / wrong page</v>
      </c>
      <c r="C8" s="7">
        <f>'01 Synthetic Records'!B81</f>
        <v>4</v>
      </c>
      <c r="D8" s="7">
        <f>'01 Synthetic Records'!C81</f>
        <v>4</v>
      </c>
      <c r="E8" s="7">
        <f>'01 Synthetic Records'!G81</f>
        <v>1</v>
      </c>
      <c r="F8" s="7">
        <f>'01 Synthetic Records'!H81</f>
        <v>1</v>
      </c>
      <c r="G8" s="1">
        <f>'01 Synthetic Records'!I81</f>
        <v>0</v>
      </c>
      <c r="H8" s="1">
        <f>'01 Synthetic Records'!J81</f>
        <v>0</v>
      </c>
      <c r="I8" s="1">
        <f>'01 Synthetic Records'!K81</f>
        <v>0</v>
      </c>
      <c r="J8" s="1">
        <f>'01 Synthetic Records'!L81</f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">
      <c r="A9" s="7" t="str">
        <f>'01 Synthetic Records'!A87</f>
        <v>SYN-0086</v>
      </c>
      <c r="B9" s="7" t="str">
        <f>'01 Synthetic Records'!F87</f>
        <v>Missing page</v>
      </c>
      <c r="C9" s="7">
        <f>'01 Synthetic Records'!B87</f>
        <v>5</v>
      </c>
      <c r="D9" s="7">
        <f>'01 Synthetic Records'!C87</f>
        <v>4</v>
      </c>
      <c r="E9" s="7">
        <f>'01 Synthetic Records'!G87</f>
        <v>1</v>
      </c>
      <c r="F9" s="7">
        <f>'01 Synthetic Records'!H87</f>
        <v>1</v>
      </c>
      <c r="G9" s="1">
        <f>'01 Synthetic Records'!I87</f>
        <v>0</v>
      </c>
      <c r="H9" s="1">
        <f>'01 Synthetic Records'!J87</f>
        <v>0</v>
      </c>
      <c r="I9" s="1">
        <f>'01 Synthetic Records'!K87</f>
        <v>0</v>
      </c>
      <c r="J9" s="1">
        <f>'01 Synthetic Records'!L87</f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">
      <c r="A10" s="7" t="str">
        <f>'01 Synthetic Records'!A120</f>
        <v>SYN-0119</v>
      </c>
      <c r="B10" s="7" t="str">
        <f>'01 Synthetic Records'!F120</f>
        <v>Missing page</v>
      </c>
      <c r="C10" s="7">
        <f>'01 Synthetic Records'!B120</f>
        <v>6</v>
      </c>
      <c r="D10" s="7">
        <f>'01 Synthetic Records'!C120</f>
        <v>5</v>
      </c>
      <c r="E10" s="7">
        <f>'01 Synthetic Records'!G120</f>
        <v>1</v>
      </c>
      <c r="F10" s="7">
        <f>'01 Synthetic Records'!H120</f>
        <v>1</v>
      </c>
      <c r="G10" s="1">
        <f>'01 Synthetic Records'!I120</f>
        <v>0</v>
      </c>
      <c r="H10" s="1">
        <f>'01 Synthetic Records'!J120</f>
        <v>0</v>
      </c>
      <c r="I10" s="1">
        <f>'01 Synthetic Records'!K120</f>
        <v>0</v>
      </c>
      <c r="J10" s="1">
        <f>'01 Synthetic Records'!L120</f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7" t="str">
        <f>'01 Synthetic Records'!A129</f>
        <v>SYN-0128</v>
      </c>
      <c r="B11" s="7" t="str">
        <f>'01 Synthetic Records'!F129</f>
        <v>Missing page</v>
      </c>
      <c r="C11" s="7">
        <f>'01 Synthetic Records'!B129</f>
        <v>7</v>
      </c>
      <c r="D11" s="7">
        <f>'01 Synthetic Records'!C129</f>
        <v>6</v>
      </c>
      <c r="E11" s="7">
        <f>'01 Synthetic Records'!G129</f>
        <v>1</v>
      </c>
      <c r="F11" s="7">
        <f>'01 Synthetic Records'!H129</f>
        <v>1</v>
      </c>
      <c r="G11" s="1">
        <f>'01 Synthetic Records'!I129</f>
        <v>0</v>
      </c>
      <c r="H11" s="1">
        <f>'01 Synthetic Records'!J129</f>
        <v>0</v>
      </c>
      <c r="I11" s="1">
        <f>'01 Synthetic Records'!K129</f>
        <v>0</v>
      </c>
      <c r="J11" s="1">
        <f>'01 Synthetic Records'!L129</f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7" t="str">
        <f>'01 Synthetic Records'!A133</f>
        <v>SYN-0132</v>
      </c>
      <c r="B12" s="7" t="str">
        <f>'01 Synthetic Records'!F133</f>
        <v>Missing page</v>
      </c>
      <c r="C12" s="7">
        <f>'01 Synthetic Records'!B133</f>
        <v>6</v>
      </c>
      <c r="D12" s="7">
        <f>'01 Synthetic Records'!C133</f>
        <v>5</v>
      </c>
      <c r="E12" s="7">
        <f>'01 Synthetic Records'!G133</f>
        <v>1</v>
      </c>
      <c r="F12" s="7">
        <f>'01 Synthetic Records'!H133</f>
        <v>1</v>
      </c>
      <c r="G12" s="1">
        <f>'01 Synthetic Records'!I133</f>
        <v>0</v>
      </c>
      <c r="H12" s="1">
        <f>'01 Synthetic Records'!J133</f>
        <v>0</v>
      </c>
      <c r="I12" s="1">
        <f>'01 Synthetic Records'!K133</f>
        <v>0</v>
      </c>
      <c r="J12" s="1">
        <f>'01 Synthetic Records'!L133</f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7" t="str">
        <f>'01 Synthetic Records'!A143</f>
        <v>SYN-0142</v>
      </c>
      <c r="B13" s="7" t="str">
        <f>'01 Synthetic Records'!F143</f>
        <v>Missing page</v>
      </c>
      <c r="C13" s="7">
        <f>'01 Synthetic Records'!B143</f>
        <v>6</v>
      </c>
      <c r="D13" s="7">
        <f>'01 Synthetic Records'!C143</f>
        <v>5</v>
      </c>
      <c r="E13" s="7">
        <f>'01 Synthetic Records'!G143</f>
        <v>0</v>
      </c>
      <c r="F13" s="7">
        <f>'01 Synthetic Records'!H143</f>
        <v>1</v>
      </c>
      <c r="G13" s="1">
        <f>'01 Synthetic Records'!I143</f>
        <v>1</v>
      </c>
      <c r="H13" s="1">
        <f>'01 Synthetic Records'!J143</f>
        <v>0</v>
      </c>
      <c r="I13" s="1">
        <f>'01 Synthetic Records'!K143</f>
        <v>20</v>
      </c>
      <c r="J13" s="1">
        <f>'01 Synthetic Records'!L143</f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7" t="str">
        <f>'01 Synthetic Records'!A147</f>
        <v>SYN-0146</v>
      </c>
      <c r="B14" s="7" t="str">
        <f>'01 Synthetic Records'!F147</f>
        <v>Missing page</v>
      </c>
      <c r="C14" s="7">
        <f>'01 Synthetic Records'!B147</f>
        <v>5</v>
      </c>
      <c r="D14" s="7">
        <f>'01 Synthetic Records'!C147</f>
        <v>4</v>
      </c>
      <c r="E14" s="7">
        <f>'01 Synthetic Records'!G147</f>
        <v>0</v>
      </c>
      <c r="F14" s="7">
        <f>'01 Synthetic Records'!H147</f>
        <v>1</v>
      </c>
      <c r="G14" s="1">
        <f>'01 Synthetic Records'!I147</f>
        <v>1</v>
      </c>
      <c r="H14" s="1">
        <f>'01 Synthetic Records'!J147</f>
        <v>0</v>
      </c>
      <c r="I14" s="1">
        <f>'01 Synthetic Records'!K147</f>
        <v>20</v>
      </c>
      <c r="J14" s="1">
        <f>'01 Synthetic Records'!L147</f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7" t="str">
        <f>'01 Synthetic Records'!A165</f>
        <v>SYN-0164</v>
      </c>
      <c r="B15" s="7" t="str">
        <f>'01 Synthetic Records'!F165</f>
        <v>Missing page</v>
      </c>
      <c r="C15" s="7">
        <f>'01 Synthetic Records'!B165</f>
        <v>8</v>
      </c>
      <c r="D15" s="7">
        <f>'01 Synthetic Records'!C165</f>
        <v>7</v>
      </c>
      <c r="E15" s="7">
        <f>'01 Synthetic Records'!G165</f>
        <v>1</v>
      </c>
      <c r="F15" s="7">
        <f>'01 Synthetic Records'!H165</f>
        <v>1</v>
      </c>
      <c r="G15" s="1">
        <f>'01 Synthetic Records'!I165</f>
        <v>0</v>
      </c>
      <c r="H15" s="1">
        <f>'01 Synthetic Records'!J165</f>
        <v>0</v>
      </c>
      <c r="I15" s="1">
        <f>'01 Synthetic Records'!K165</f>
        <v>0</v>
      </c>
      <c r="J15" s="1">
        <f>'01 Synthetic Records'!L165</f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7" t="str">
        <f>'01 Synthetic Records'!A172</f>
        <v>SYN-0171</v>
      </c>
      <c r="B16" s="7" t="str">
        <f>'01 Synthetic Records'!F172</f>
        <v>Missing page</v>
      </c>
      <c r="C16" s="7">
        <f>'01 Synthetic Records'!B172</f>
        <v>5</v>
      </c>
      <c r="D16" s="7">
        <f>'01 Synthetic Records'!C172</f>
        <v>4</v>
      </c>
      <c r="E16" s="7">
        <f>'01 Synthetic Records'!G172</f>
        <v>0</v>
      </c>
      <c r="F16" s="7">
        <f>'01 Synthetic Records'!H172</f>
        <v>0</v>
      </c>
      <c r="G16" s="1">
        <f>'01 Synthetic Records'!I172</f>
        <v>1</v>
      </c>
      <c r="H16" s="1">
        <f>'01 Synthetic Records'!J172</f>
        <v>1</v>
      </c>
      <c r="I16" s="1">
        <f>'01 Synthetic Records'!K172</f>
        <v>20</v>
      </c>
      <c r="J16" s="1">
        <f>'01 Synthetic Records'!L172</f>
        <v>20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7" t="str">
        <f>'01 Synthetic Records'!A197</f>
        <v>SYN-0196</v>
      </c>
      <c r="B17" s="7" t="str">
        <f>'01 Synthetic Records'!F197</f>
        <v>Missing page</v>
      </c>
      <c r="C17" s="7">
        <f>'01 Synthetic Records'!B197</f>
        <v>6</v>
      </c>
      <c r="D17" s="7">
        <f>'01 Synthetic Records'!C197</f>
        <v>5</v>
      </c>
      <c r="E17" s="7">
        <f>'01 Synthetic Records'!G197</f>
        <v>0</v>
      </c>
      <c r="F17" s="7">
        <f>'01 Synthetic Records'!H197</f>
        <v>1</v>
      </c>
      <c r="G17" s="1">
        <f>'01 Synthetic Records'!I197</f>
        <v>1</v>
      </c>
      <c r="H17" s="1">
        <f>'01 Synthetic Records'!J197</f>
        <v>0</v>
      </c>
      <c r="I17" s="1">
        <f>'01 Synthetic Records'!K197</f>
        <v>20</v>
      </c>
      <c r="J17" s="1">
        <f>'01 Synthetic Records'!L197</f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7" t="str">
        <f>'01 Synthetic Records'!A198</f>
        <v>SYN-0197</v>
      </c>
      <c r="B18" s="7" t="str">
        <f>'01 Synthetic Records'!F198</f>
        <v>Missing page</v>
      </c>
      <c r="C18" s="7">
        <f>'01 Synthetic Records'!B198</f>
        <v>6</v>
      </c>
      <c r="D18" s="7">
        <f>'01 Synthetic Records'!C198</f>
        <v>5</v>
      </c>
      <c r="E18" s="7">
        <f>'01 Synthetic Records'!G198</f>
        <v>0</v>
      </c>
      <c r="F18" s="7">
        <f>'01 Synthetic Records'!H198</f>
        <v>1</v>
      </c>
      <c r="G18" s="1">
        <f>'01 Synthetic Records'!I198</f>
        <v>1</v>
      </c>
      <c r="H18" s="1">
        <f>'01 Synthetic Records'!J198</f>
        <v>0</v>
      </c>
      <c r="I18" s="1">
        <f>'01 Synthetic Records'!K198</f>
        <v>20</v>
      </c>
      <c r="J18" s="1">
        <f>'01 Synthetic Records'!L198</f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7" t="str">
        <f>'01 Synthetic Records'!A199</f>
        <v>SYN-0198</v>
      </c>
      <c r="B19" s="7" t="str">
        <f>'01 Synthetic Records'!F199</f>
        <v>Missing page</v>
      </c>
      <c r="C19" s="7">
        <f>'01 Synthetic Records'!B199</f>
        <v>7</v>
      </c>
      <c r="D19" s="7">
        <f>'01 Synthetic Records'!C199</f>
        <v>6</v>
      </c>
      <c r="E19" s="7">
        <f>'01 Synthetic Records'!G199</f>
        <v>0</v>
      </c>
      <c r="F19" s="7">
        <f>'01 Synthetic Records'!H199</f>
        <v>1</v>
      </c>
      <c r="G19" s="1">
        <f>'01 Synthetic Records'!I199</f>
        <v>1</v>
      </c>
      <c r="H19" s="1">
        <f>'01 Synthetic Records'!J199</f>
        <v>0</v>
      </c>
      <c r="I19" s="1">
        <f>'01 Synthetic Records'!K199</f>
        <v>20</v>
      </c>
      <c r="J19" s="1">
        <f>'01 Synthetic Records'!L199</f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7" t="str">
        <f>'01 Synthetic Records'!A223</f>
        <v>SYN-0222</v>
      </c>
      <c r="B20" s="7" t="str">
        <f>'01 Synthetic Records'!F223</f>
        <v>Missing page</v>
      </c>
      <c r="C20" s="7">
        <f>'01 Synthetic Records'!B223</f>
        <v>6</v>
      </c>
      <c r="D20" s="7">
        <f>'01 Synthetic Records'!C223</f>
        <v>5</v>
      </c>
      <c r="E20" s="7">
        <f>'01 Synthetic Records'!G223</f>
        <v>1</v>
      </c>
      <c r="F20" s="7">
        <f>'01 Synthetic Records'!H223</f>
        <v>1</v>
      </c>
      <c r="G20" s="1">
        <f>'01 Synthetic Records'!I223</f>
        <v>0</v>
      </c>
      <c r="H20" s="1">
        <f>'01 Synthetic Records'!J223</f>
        <v>0</v>
      </c>
      <c r="I20" s="1">
        <f>'01 Synthetic Records'!K223</f>
        <v>0</v>
      </c>
      <c r="J20" s="1">
        <f>'01 Synthetic Records'!L223</f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7" t="str">
        <f>'01 Synthetic Records'!A226</f>
        <v>SYN-0225</v>
      </c>
      <c r="B21" s="7" t="str">
        <f>'01 Synthetic Records'!F226</f>
        <v>Content missing / wrong page</v>
      </c>
      <c r="C21" s="7">
        <f>'01 Synthetic Records'!B226</f>
        <v>4</v>
      </c>
      <c r="D21" s="7">
        <f>'01 Synthetic Records'!C226</f>
        <v>4</v>
      </c>
      <c r="E21" s="7">
        <f>'01 Synthetic Records'!G226</f>
        <v>1</v>
      </c>
      <c r="F21" s="7">
        <f>'01 Synthetic Records'!H226</f>
        <v>1</v>
      </c>
      <c r="G21" s="1">
        <f>'01 Synthetic Records'!I226</f>
        <v>0</v>
      </c>
      <c r="H21" s="1">
        <f>'01 Synthetic Records'!J226</f>
        <v>0</v>
      </c>
      <c r="I21" s="1">
        <f>'01 Synthetic Records'!K226</f>
        <v>0</v>
      </c>
      <c r="J21" s="1">
        <f>'01 Synthetic Records'!L226</f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7" t="str">
        <f>'01 Synthetic Records'!A285</f>
        <v>SYN-0284</v>
      </c>
      <c r="B22" s="7" t="str">
        <f>'01 Synthetic Records'!F285</f>
        <v>Missing page</v>
      </c>
      <c r="C22" s="7">
        <f>'01 Synthetic Records'!B285</f>
        <v>8</v>
      </c>
      <c r="D22" s="7">
        <f>'01 Synthetic Records'!C285</f>
        <v>7</v>
      </c>
      <c r="E22" s="7">
        <f>'01 Synthetic Records'!G285</f>
        <v>0</v>
      </c>
      <c r="F22" s="7">
        <f>'01 Synthetic Records'!H285</f>
        <v>1</v>
      </c>
      <c r="G22" s="1">
        <f>'01 Synthetic Records'!I285</f>
        <v>1</v>
      </c>
      <c r="H22" s="1">
        <f>'01 Synthetic Records'!J285</f>
        <v>0</v>
      </c>
      <c r="I22" s="1">
        <f>'01 Synthetic Records'!K285</f>
        <v>20</v>
      </c>
      <c r="J22" s="1">
        <f>'01 Synthetic Records'!L285</f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7" t="str">
        <f>'01 Synthetic Records'!A297</f>
        <v>SYN-0296</v>
      </c>
      <c r="B23" s="7" t="str">
        <f>'01 Synthetic Records'!F297</f>
        <v>Missing page</v>
      </c>
      <c r="C23" s="7">
        <f>'01 Synthetic Records'!B297</f>
        <v>5</v>
      </c>
      <c r="D23" s="7">
        <f>'01 Synthetic Records'!C297</f>
        <v>4</v>
      </c>
      <c r="E23" s="7">
        <f>'01 Synthetic Records'!G297</f>
        <v>0</v>
      </c>
      <c r="F23" s="7">
        <f>'01 Synthetic Records'!H297</f>
        <v>1</v>
      </c>
      <c r="G23" s="1">
        <f>'01 Synthetic Records'!I297</f>
        <v>1</v>
      </c>
      <c r="H23" s="1">
        <f>'01 Synthetic Records'!J297</f>
        <v>0</v>
      </c>
      <c r="I23" s="1">
        <f>'01 Synthetic Records'!K297</f>
        <v>20</v>
      </c>
      <c r="J23" s="1">
        <f>'01 Synthetic Records'!L297</f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7" t="str">
        <f>'01 Synthetic Records'!A300</f>
        <v>SYN-0299</v>
      </c>
      <c r="B24" s="7" t="str">
        <f>'01 Synthetic Records'!F300</f>
        <v>Missing page</v>
      </c>
      <c r="C24" s="7">
        <f>'01 Synthetic Records'!B300</f>
        <v>8</v>
      </c>
      <c r="D24" s="7">
        <f>'01 Synthetic Records'!C300</f>
        <v>7</v>
      </c>
      <c r="E24" s="7">
        <f>'01 Synthetic Records'!G300</f>
        <v>1</v>
      </c>
      <c r="F24" s="7">
        <f>'01 Synthetic Records'!H300</f>
        <v>1</v>
      </c>
      <c r="G24" s="1">
        <f>'01 Synthetic Records'!I300</f>
        <v>0</v>
      </c>
      <c r="H24" s="1">
        <f>'01 Synthetic Records'!J300</f>
        <v>0</v>
      </c>
      <c r="I24" s="1">
        <f>'01 Synthetic Records'!K300</f>
        <v>0</v>
      </c>
      <c r="J24" s="1">
        <f>'01 Synthetic Records'!L300</f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">
      <c r="A25" s="7" t="str">
        <f>'01 Synthetic Records'!A302</f>
        <v>SYN-0301</v>
      </c>
      <c r="B25" s="7" t="str">
        <f>'01 Synthetic Records'!F302</f>
        <v>Missing page</v>
      </c>
      <c r="C25" s="7">
        <f>'01 Synthetic Records'!B302</f>
        <v>6</v>
      </c>
      <c r="D25" s="7">
        <f>'01 Synthetic Records'!C302</f>
        <v>5</v>
      </c>
      <c r="E25" s="7">
        <f>'01 Synthetic Records'!G302</f>
        <v>1</v>
      </c>
      <c r="F25" s="7">
        <f>'01 Synthetic Records'!H302</f>
        <v>1</v>
      </c>
      <c r="G25" s="1">
        <f>'01 Synthetic Records'!I302</f>
        <v>0</v>
      </c>
      <c r="H25" s="1">
        <f>'01 Synthetic Records'!J302</f>
        <v>0</v>
      </c>
      <c r="I25" s="1">
        <f>'01 Synthetic Records'!K302</f>
        <v>0</v>
      </c>
      <c r="J25" s="1">
        <f>'01 Synthetic Records'!L302</f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7" t="str">
        <f>'01 Synthetic Records'!A319</f>
        <v>SYN-0318</v>
      </c>
      <c r="B26" s="7" t="str">
        <f>'01 Synthetic Records'!F319</f>
        <v>Missing page</v>
      </c>
      <c r="C26" s="7">
        <f>'01 Synthetic Records'!B319</f>
        <v>7</v>
      </c>
      <c r="D26" s="7">
        <f>'01 Synthetic Records'!C319</f>
        <v>6</v>
      </c>
      <c r="E26" s="7">
        <f>'01 Synthetic Records'!G319</f>
        <v>0</v>
      </c>
      <c r="F26" s="7">
        <f>'01 Synthetic Records'!H319</f>
        <v>1</v>
      </c>
      <c r="G26" s="1">
        <f>'01 Synthetic Records'!I319</f>
        <v>1</v>
      </c>
      <c r="H26" s="1">
        <f>'01 Synthetic Records'!J319</f>
        <v>0</v>
      </c>
      <c r="I26" s="1">
        <f>'01 Synthetic Records'!K319</f>
        <v>20</v>
      </c>
      <c r="J26" s="1">
        <f>'01 Synthetic Records'!L319</f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7" t="str">
        <f>'01 Synthetic Records'!A337</f>
        <v>SYN-0336</v>
      </c>
      <c r="B27" s="7" t="str">
        <f>'01 Synthetic Records'!F337</f>
        <v>Missing page</v>
      </c>
      <c r="C27" s="7">
        <f>'01 Synthetic Records'!B337</f>
        <v>6</v>
      </c>
      <c r="D27" s="7">
        <f>'01 Synthetic Records'!C337</f>
        <v>5</v>
      </c>
      <c r="E27" s="7">
        <f>'01 Synthetic Records'!G337</f>
        <v>0</v>
      </c>
      <c r="F27" s="7">
        <f>'01 Synthetic Records'!H337</f>
        <v>1</v>
      </c>
      <c r="G27" s="1">
        <f>'01 Synthetic Records'!I337</f>
        <v>1</v>
      </c>
      <c r="H27" s="1">
        <f>'01 Synthetic Records'!J337</f>
        <v>0</v>
      </c>
      <c r="I27" s="1">
        <f>'01 Synthetic Records'!K337</f>
        <v>20</v>
      </c>
      <c r="J27" s="1">
        <f>'01 Synthetic Records'!L337</f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7" t="str">
        <f>'01 Synthetic Records'!A340</f>
        <v>SYN-0339</v>
      </c>
      <c r="B28" s="7" t="str">
        <f>'01 Synthetic Records'!F340</f>
        <v>Missing page</v>
      </c>
      <c r="C28" s="7">
        <f>'01 Synthetic Records'!B340</f>
        <v>8</v>
      </c>
      <c r="D28" s="7">
        <f>'01 Synthetic Records'!C340</f>
        <v>7</v>
      </c>
      <c r="E28" s="7">
        <f>'01 Synthetic Records'!G340</f>
        <v>1</v>
      </c>
      <c r="F28" s="7">
        <f>'01 Synthetic Records'!H340</f>
        <v>1</v>
      </c>
      <c r="G28" s="1">
        <f>'01 Synthetic Records'!I340</f>
        <v>0</v>
      </c>
      <c r="H28" s="1">
        <f>'01 Synthetic Records'!J340</f>
        <v>0</v>
      </c>
      <c r="I28" s="1">
        <f>'01 Synthetic Records'!K340</f>
        <v>0</v>
      </c>
      <c r="J28" s="1">
        <f>'01 Synthetic Records'!L340</f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7" t="str">
        <f>'01 Synthetic Records'!A355</f>
        <v>SYN-0354</v>
      </c>
      <c r="B29" s="7" t="str">
        <f>'01 Synthetic Records'!F355</f>
        <v>Missing page</v>
      </c>
      <c r="C29" s="7">
        <f>'01 Synthetic Records'!B355</f>
        <v>8</v>
      </c>
      <c r="D29" s="7">
        <f>'01 Synthetic Records'!C355</f>
        <v>7</v>
      </c>
      <c r="E29" s="7">
        <f>'01 Synthetic Records'!G355</f>
        <v>1</v>
      </c>
      <c r="F29" s="7">
        <f>'01 Synthetic Records'!H355</f>
        <v>1</v>
      </c>
      <c r="G29" s="1">
        <f>'01 Synthetic Records'!I355</f>
        <v>0</v>
      </c>
      <c r="H29" s="1">
        <f>'01 Synthetic Records'!J355</f>
        <v>0</v>
      </c>
      <c r="I29" s="1">
        <f>'01 Synthetic Records'!K355</f>
        <v>0</v>
      </c>
      <c r="J29" s="1">
        <f>'01 Synthetic Records'!L355</f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7" t="str">
        <f>'01 Synthetic Records'!A372</f>
        <v>SYN-0371</v>
      </c>
      <c r="B30" s="7" t="str">
        <f>'01 Synthetic Records'!F372</f>
        <v>Missing page</v>
      </c>
      <c r="C30" s="7">
        <f>'01 Synthetic Records'!B372</f>
        <v>6</v>
      </c>
      <c r="D30" s="7">
        <f>'01 Synthetic Records'!C372</f>
        <v>5</v>
      </c>
      <c r="E30" s="7">
        <f>'01 Synthetic Records'!G372</f>
        <v>1</v>
      </c>
      <c r="F30" s="7">
        <f>'01 Synthetic Records'!H372</f>
        <v>1</v>
      </c>
      <c r="G30" s="1">
        <f>'01 Synthetic Records'!I372</f>
        <v>0</v>
      </c>
      <c r="H30" s="1">
        <f>'01 Synthetic Records'!J372</f>
        <v>0</v>
      </c>
      <c r="I30" s="1">
        <f>'01 Synthetic Records'!K372</f>
        <v>0</v>
      </c>
      <c r="J30" s="1">
        <f>'01 Synthetic Records'!L372</f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7" t="str">
        <f>'01 Synthetic Records'!A376</f>
        <v>SYN-0375</v>
      </c>
      <c r="B31" s="7" t="str">
        <f>'01 Synthetic Records'!F376</f>
        <v>Content missing / wrong page</v>
      </c>
      <c r="C31" s="7">
        <f>'01 Synthetic Records'!B376</f>
        <v>4</v>
      </c>
      <c r="D31" s="7">
        <f>'01 Synthetic Records'!C376</f>
        <v>4</v>
      </c>
      <c r="E31" s="7">
        <f>'01 Synthetic Records'!G376</f>
        <v>1</v>
      </c>
      <c r="F31" s="7">
        <f>'01 Synthetic Records'!H376</f>
        <v>1</v>
      </c>
      <c r="G31" s="1">
        <f>'01 Synthetic Records'!I376</f>
        <v>0</v>
      </c>
      <c r="H31" s="1">
        <f>'01 Synthetic Records'!J376</f>
        <v>0</v>
      </c>
      <c r="I31" s="1">
        <f>'01 Synthetic Records'!K376</f>
        <v>0</v>
      </c>
      <c r="J31" s="1">
        <f>'01 Synthetic Records'!L376</f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7" t="str">
        <f>'01 Synthetic Records'!A392</f>
        <v>SYN-0391</v>
      </c>
      <c r="B32" s="7" t="str">
        <f>'01 Synthetic Records'!F392</f>
        <v>Missing page</v>
      </c>
      <c r="C32" s="7">
        <f>'01 Synthetic Records'!B392</f>
        <v>5</v>
      </c>
      <c r="D32" s="7">
        <f>'01 Synthetic Records'!C392</f>
        <v>4</v>
      </c>
      <c r="E32" s="7">
        <f>'01 Synthetic Records'!G392</f>
        <v>1</v>
      </c>
      <c r="F32" s="7">
        <f>'01 Synthetic Records'!H392</f>
        <v>1</v>
      </c>
      <c r="G32" s="1">
        <f>'01 Synthetic Records'!I392</f>
        <v>0</v>
      </c>
      <c r="H32" s="1">
        <f>'01 Synthetic Records'!J392</f>
        <v>0</v>
      </c>
      <c r="I32" s="1">
        <f>'01 Synthetic Records'!K392</f>
        <v>0</v>
      </c>
      <c r="J32" s="1">
        <f>'01 Synthetic Records'!L392</f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7" t="str">
        <f>'01 Synthetic Records'!A401</f>
        <v>SYN-0400</v>
      </c>
      <c r="B33" s="7" t="str">
        <f>'01 Synthetic Records'!F401</f>
        <v>Content missing / wrong page</v>
      </c>
      <c r="C33" s="7">
        <f>'01 Synthetic Records'!B401</f>
        <v>4</v>
      </c>
      <c r="D33" s="7">
        <f>'01 Synthetic Records'!C401</f>
        <v>4</v>
      </c>
      <c r="E33" s="7">
        <f>'01 Synthetic Records'!G401</f>
        <v>0</v>
      </c>
      <c r="F33" s="7">
        <f>'01 Synthetic Records'!H401</f>
        <v>1</v>
      </c>
      <c r="G33" s="1">
        <f>'01 Synthetic Records'!I401</f>
        <v>1</v>
      </c>
      <c r="H33" s="1">
        <f>'01 Synthetic Records'!J401</f>
        <v>0</v>
      </c>
      <c r="I33" s="1">
        <f>'01 Synthetic Records'!K401</f>
        <v>20</v>
      </c>
      <c r="J33" s="1">
        <f>'01 Synthetic Records'!L401</f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7" t="str">
        <f>'01 Synthetic Records'!A403</f>
        <v>SYN-0402</v>
      </c>
      <c r="B34" s="7" t="str">
        <f>'01 Synthetic Records'!F403</f>
        <v>Missing page</v>
      </c>
      <c r="C34" s="7">
        <f>'01 Synthetic Records'!B403</f>
        <v>6</v>
      </c>
      <c r="D34" s="7">
        <f>'01 Synthetic Records'!C403</f>
        <v>5</v>
      </c>
      <c r="E34" s="7">
        <f>'01 Synthetic Records'!G403</f>
        <v>1</v>
      </c>
      <c r="F34" s="7">
        <f>'01 Synthetic Records'!H403</f>
        <v>1</v>
      </c>
      <c r="G34" s="1">
        <f>'01 Synthetic Records'!I403</f>
        <v>0</v>
      </c>
      <c r="H34" s="1">
        <f>'01 Synthetic Records'!J403</f>
        <v>0</v>
      </c>
      <c r="I34" s="1">
        <f>'01 Synthetic Records'!K403</f>
        <v>0</v>
      </c>
      <c r="J34" s="1">
        <f>'01 Synthetic Records'!L403</f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7" t="str">
        <f>'01 Synthetic Records'!A431</f>
        <v>SYN-0430</v>
      </c>
      <c r="B35" s="7" t="str">
        <f>'01 Synthetic Records'!F431</f>
        <v>Content missing / wrong page</v>
      </c>
      <c r="C35" s="7">
        <f>'01 Synthetic Records'!B431</f>
        <v>4</v>
      </c>
      <c r="D35" s="7">
        <f>'01 Synthetic Records'!C431</f>
        <v>4</v>
      </c>
      <c r="E35" s="7">
        <f>'01 Synthetic Records'!G431</f>
        <v>1</v>
      </c>
      <c r="F35" s="7">
        <f>'01 Synthetic Records'!H431</f>
        <v>1</v>
      </c>
      <c r="G35" s="1">
        <f>'01 Synthetic Records'!I431</f>
        <v>0</v>
      </c>
      <c r="H35" s="1">
        <f>'01 Synthetic Records'!J431</f>
        <v>0</v>
      </c>
      <c r="I35" s="1">
        <f>'01 Synthetic Records'!K431</f>
        <v>0</v>
      </c>
      <c r="J35" s="1">
        <f>'01 Synthetic Records'!L431</f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7" t="str">
        <f>'01 Synthetic Records'!A438</f>
        <v>SYN-0437</v>
      </c>
      <c r="B36" s="7" t="str">
        <f>'01 Synthetic Records'!F438</f>
        <v>Missing page</v>
      </c>
      <c r="C36" s="7">
        <f>'01 Synthetic Records'!B438</f>
        <v>6</v>
      </c>
      <c r="D36" s="7">
        <f>'01 Synthetic Records'!C438</f>
        <v>5</v>
      </c>
      <c r="E36" s="7">
        <f>'01 Synthetic Records'!G438</f>
        <v>1</v>
      </c>
      <c r="F36" s="7">
        <f>'01 Synthetic Records'!H438</f>
        <v>1</v>
      </c>
      <c r="G36" s="1">
        <f>'01 Synthetic Records'!I438</f>
        <v>0</v>
      </c>
      <c r="H36" s="1">
        <f>'01 Synthetic Records'!J438</f>
        <v>0</v>
      </c>
      <c r="I36" s="1">
        <f>'01 Synthetic Records'!K438</f>
        <v>0</v>
      </c>
      <c r="J36" s="1">
        <f>'01 Synthetic Records'!L438</f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7" t="str">
        <f>'01 Synthetic Records'!A445</f>
        <v>SYN-0444</v>
      </c>
      <c r="B37" s="7" t="str">
        <f>'01 Synthetic Records'!F445</f>
        <v>Missing page</v>
      </c>
      <c r="C37" s="7">
        <f>'01 Synthetic Records'!B445</f>
        <v>8</v>
      </c>
      <c r="D37" s="7">
        <f>'01 Synthetic Records'!C445</f>
        <v>7</v>
      </c>
      <c r="E37" s="7">
        <f>'01 Synthetic Records'!G445</f>
        <v>0</v>
      </c>
      <c r="F37" s="7">
        <f>'01 Synthetic Records'!H445</f>
        <v>0</v>
      </c>
      <c r="G37" s="1">
        <f>'01 Synthetic Records'!I445</f>
        <v>1</v>
      </c>
      <c r="H37" s="1">
        <f>'01 Synthetic Records'!J445</f>
        <v>1</v>
      </c>
      <c r="I37" s="1">
        <f>'01 Synthetic Records'!K445</f>
        <v>20</v>
      </c>
      <c r="J37" s="1">
        <f>'01 Synthetic Records'!L445</f>
        <v>20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7" t="str">
        <f>'01 Synthetic Records'!A460</f>
        <v>SYN-0459</v>
      </c>
      <c r="B38" s="7" t="str">
        <f>'01 Synthetic Records'!F460</f>
        <v>Missing page</v>
      </c>
      <c r="C38" s="7">
        <f>'01 Synthetic Records'!B460</f>
        <v>8</v>
      </c>
      <c r="D38" s="7">
        <f>'01 Synthetic Records'!C460</f>
        <v>7</v>
      </c>
      <c r="E38" s="7">
        <f>'01 Synthetic Records'!G460</f>
        <v>0</v>
      </c>
      <c r="F38" s="7">
        <f>'01 Synthetic Records'!H460</f>
        <v>1</v>
      </c>
      <c r="G38" s="1">
        <f>'01 Synthetic Records'!I460</f>
        <v>1</v>
      </c>
      <c r="H38" s="1">
        <f>'01 Synthetic Records'!J460</f>
        <v>0</v>
      </c>
      <c r="I38" s="1">
        <f>'01 Synthetic Records'!K460</f>
        <v>20</v>
      </c>
      <c r="J38" s="1">
        <f>'01 Synthetic Records'!L460</f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7" t="str">
        <f>'01 Synthetic Records'!A463</f>
        <v>SYN-0462</v>
      </c>
      <c r="B39" s="7" t="str">
        <f>'01 Synthetic Records'!F463</f>
        <v>Missing page</v>
      </c>
      <c r="C39" s="7">
        <f>'01 Synthetic Records'!B463</f>
        <v>6</v>
      </c>
      <c r="D39" s="7">
        <f>'01 Synthetic Records'!C463</f>
        <v>5</v>
      </c>
      <c r="E39" s="7">
        <f>'01 Synthetic Records'!G463</f>
        <v>1</v>
      </c>
      <c r="F39" s="7">
        <f>'01 Synthetic Records'!H463</f>
        <v>1</v>
      </c>
      <c r="G39" s="1">
        <f>'01 Synthetic Records'!I463</f>
        <v>0</v>
      </c>
      <c r="H39" s="1">
        <f>'01 Synthetic Records'!J463</f>
        <v>0</v>
      </c>
      <c r="I39" s="1">
        <f>'01 Synthetic Records'!K463</f>
        <v>0</v>
      </c>
      <c r="J39" s="1">
        <f>'01 Synthetic Records'!L463</f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7" t="str">
        <f>'01 Synthetic Records'!A469</f>
        <v>SYN-0468</v>
      </c>
      <c r="B40" s="7" t="str">
        <f>'01 Synthetic Records'!F469</f>
        <v>Missing page</v>
      </c>
      <c r="C40" s="7">
        <f>'01 Synthetic Records'!B469</f>
        <v>7</v>
      </c>
      <c r="D40" s="7">
        <f>'01 Synthetic Records'!C469</f>
        <v>6</v>
      </c>
      <c r="E40" s="7">
        <f>'01 Synthetic Records'!G469</f>
        <v>1</v>
      </c>
      <c r="F40" s="7">
        <f>'01 Synthetic Records'!H469</f>
        <v>1</v>
      </c>
      <c r="G40" s="1">
        <f>'01 Synthetic Records'!I469</f>
        <v>0</v>
      </c>
      <c r="H40" s="1">
        <f>'01 Synthetic Records'!J469</f>
        <v>0</v>
      </c>
      <c r="I40" s="1">
        <f>'01 Synthetic Records'!K469</f>
        <v>0</v>
      </c>
      <c r="J40" s="1">
        <f>'01 Synthetic Records'!L469</f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7" t="str">
        <f>'01 Synthetic Records'!A487</f>
        <v>SYN-0486</v>
      </c>
      <c r="B41" s="7" t="str">
        <f>'01 Synthetic Records'!F487</f>
        <v>Missing page</v>
      </c>
      <c r="C41" s="7">
        <f>'01 Synthetic Records'!B487</f>
        <v>5</v>
      </c>
      <c r="D41" s="7">
        <f>'01 Synthetic Records'!C487</f>
        <v>4</v>
      </c>
      <c r="E41" s="7">
        <f>'01 Synthetic Records'!G487</f>
        <v>1</v>
      </c>
      <c r="F41" s="7">
        <f>'01 Synthetic Records'!H487</f>
        <v>1</v>
      </c>
      <c r="G41" s="1">
        <f>'01 Synthetic Records'!I487</f>
        <v>0</v>
      </c>
      <c r="H41" s="1">
        <f>'01 Synthetic Records'!J487</f>
        <v>0</v>
      </c>
      <c r="I41" s="1">
        <f>'01 Synthetic Records'!K487</f>
        <v>0</v>
      </c>
      <c r="J41" s="1">
        <f>'01 Synthetic Records'!L487</f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7"/>
      <c r="B42" s="7"/>
      <c r="C42" s="7"/>
      <c r="D42" s="7"/>
      <c r="E42" s="7"/>
      <c r="F42" s="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7"/>
      <c r="B43" s="7"/>
      <c r="C43" s="7"/>
      <c r="D43" s="7"/>
      <c r="E43" s="7"/>
      <c r="F43" s="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7"/>
      <c r="B44" s="7"/>
      <c r="C44" s="7"/>
      <c r="D44" s="7"/>
      <c r="E44" s="7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7"/>
      <c r="B45" s="7"/>
      <c r="C45" s="7"/>
      <c r="D45" s="7"/>
      <c r="E45" s="7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5"/>
  <sheetViews>
    <sheetView zoomScaleNormal="60" zoomScaleSheetLayoutView="100" workbookViewId="0"/>
  </sheetViews>
  <sheetFormatPr defaultRowHeight="15" x14ac:dyDescent="0.2"/>
  <cols>
    <col min="1" max="2" width="18.96484375" customWidth="1"/>
    <col min="3" max="5" width="43.046875" customWidth="1"/>
  </cols>
  <sheetData>
    <row r="1" spans="1:21" ht="32.1" customHeight="1" x14ac:dyDescent="0.25">
      <c r="A1" s="8" t="s">
        <v>543</v>
      </c>
      <c r="B1" s="8" t="s">
        <v>544</v>
      </c>
      <c r="C1" s="8" t="s">
        <v>545</v>
      </c>
      <c r="D1" s="8" t="s">
        <v>546</v>
      </c>
      <c r="E1" s="8" t="s">
        <v>547</v>
      </c>
      <c r="F1" s="1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">
      <c r="A2" s="6" t="s">
        <v>548</v>
      </c>
      <c r="B2" s="6" t="s">
        <v>549</v>
      </c>
      <c r="C2" s="6" t="s">
        <v>550</v>
      </c>
      <c r="D2" s="6" t="s">
        <v>551</v>
      </c>
      <c r="E2" s="6" t="s">
        <v>552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">
      <c r="A3" s="7" t="s">
        <v>553</v>
      </c>
      <c r="B3" s="7" t="s">
        <v>554</v>
      </c>
      <c r="C3" s="7" t="s">
        <v>555</v>
      </c>
      <c r="D3" s="7" t="s">
        <v>556</v>
      </c>
      <c r="E3" s="7" t="s">
        <v>557</v>
      </c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7" t="s">
        <v>558</v>
      </c>
      <c r="B4" s="7" t="s">
        <v>559</v>
      </c>
      <c r="C4" s="7" t="s">
        <v>560</v>
      </c>
      <c r="D4" s="7" t="s">
        <v>561</v>
      </c>
      <c r="E4" s="7" t="s">
        <v>562</v>
      </c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">
      <c r="A5" s="7" t="s">
        <v>563</v>
      </c>
      <c r="B5" s="7" t="s">
        <v>564</v>
      </c>
      <c r="C5" s="7" t="s">
        <v>565</v>
      </c>
      <c r="D5" s="7" t="s">
        <v>566</v>
      </c>
      <c r="E5" s="7" t="s">
        <v>567</v>
      </c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">
      <c r="A6" s="7" t="s">
        <v>568</v>
      </c>
      <c r="B6" s="7" t="s">
        <v>569</v>
      </c>
      <c r="C6" s="7" t="s">
        <v>570</v>
      </c>
      <c r="D6" s="7" t="s">
        <v>571</v>
      </c>
      <c r="E6" s="7" t="s">
        <v>572</v>
      </c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">
      <c r="A7" s="7"/>
      <c r="B7" s="7"/>
      <c r="C7" s="7"/>
      <c r="D7" s="7"/>
      <c r="E7" s="7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">
      <c r="A8" s="7"/>
      <c r="B8" s="7"/>
      <c r="C8" s="7"/>
      <c r="D8" s="7"/>
      <c r="E8" s="7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">
      <c r="A9" s="7"/>
      <c r="B9" s="7"/>
      <c r="C9" s="7"/>
      <c r="D9" s="7"/>
      <c r="E9" s="7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">
      <c r="A10" s="7"/>
      <c r="B10" s="7"/>
      <c r="C10" s="7"/>
      <c r="D10" s="7"/>
      <c r="E10" s="7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7"/>
      <c r="B11" s="7"/>
      <c r="C11" s="7"/>
      <c r="D11" s="7"/>
      <c r="E11" s="7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7"/>
      <c r="B12" s="7"/>
      <c r="C12" s="7"/>
      <c r="D12" s="7"/>
      <c r="E12" s="7"/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7"/>
      <c r="B13" s="7"/>
      <c r="C13" s="7"/>
      <c r="D13" s="7"/>
      <c r="E13" s="7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7"/>
      <c r="B14" s="7"/>
      <c r="C14" s="7"/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7"/>
      <c r="B15" s="7"/>
      <c r="C15" s="7"/>
      <c r="D15" s="7"/>
      <c r="E15" s="7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7"/>
      <c r="B16" s="7"/>
      <c r="C16" s="7"/>
      <c r="D16" s="7"/>
      <c r="E16" s="7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7"/>
      <c r="B17" s="7"/>
      <c r="C17" s="7"/>
      <c r="D17" s="7"/>
      <c r="E17" s="7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7"/>
      <c r="B18" s="7"/>
      <c r="C18" s="7"/>
      <c r="D18" s="7"/>
      <c r="E18" s="7"/>
      <c r="F18" s="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5"/>
  <sheetViews>
    <sheetView zoomScaleNormal="60" zoomScaleSheetLayoutView="100" workbookViewId="0"/>
  </sheetViews>
  <sheetFormatPr defaultRowHeight="15" x14ac:dyDescent="0.2"/>
  <cols>
    <col min="1" max="1" width="34.03125" customWidth="1"/>
    <col min="2" max="2" width="55.01953125" customWidth="1"/>
    <col min="3" max="3" width="52.05859375" customWidth="1"/>
  </cols>
  <sheetData>
    <row r="1" spans="1:21" ht="32.1" customHeight="1" x14ac:dyDescent="0.25">
      <c r="A1" s="8" t="s">
        <v>573</v>
      </c>
      <c r="B1" s="8" t="s">
        <v>574</v>
      </c>
      <c r="C1" s="8" t="s">
        <v>575</v>
      </c>
      <c r="D1" s="12"/>
      <c r="E1" s="12"/>
      <c r="F1" s="1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">
      <c r="A2" s="6" t="s">
        <v>576</v>
      </c>
      <c r="B2" s="6" t="s">
        <v>615</v>
      </c>
      <c r="C2" s="6" t="s">
        <v>577</v>
      </c>
      <c r="D2" s="6"/>
      <c r="E2" s="6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">
      <c r="A3" s="7" t="s">
        <v>578</v>
      </c>
      <c r="B3" s="7" t="s">
        <v>579</v>
      </c>
      <c r="C3" s="7" t="s">
        <v>580</v>
      </c>
      <c r="D3" s="7"/>
      <c r="E3" s="7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7" t="s">
        <v>581</v>
      </c>
      <c r="B4" s="7" t="s">
        <v>582</v>
      </c>
      <c r="C4" s="7" t="s">
        <v>583</v>
      </c>
      <c r="D4" s="7"/>
      <c r="E4" s="7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">
      <c r="A5" s="7" t="s">
        <v>584</v>
      </c>
      <c r="B5" s="7" t="s">
        <v>585</v>
      </c>
      <c r="C5" s="7" t="s">
        <v>586</v>
      </c>
      <c r="D5" s="7"/>
      <c r="E5" s="7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">
      <c r="A6" s="7" t="s">
        <v>587</v>
      </c>
      <c r="B6" s="7" t="s">
        <v>18</v>
      </c>
      <c r="C6" s="7" t="s">
        <v>588</v>
      </c>
      <c r="D6" s="7"/>
      <c r="E6" s="7"/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">
      <c r="A7" s="7" t="s">
        <v>589</v>
      </c>
      <c r="B7" s="7">
        <v>20</v>
      </c>
      <c r="C7" s="7" t="s">
        <v>590</v>
      </c>
      <c r="D7" s="7"/>
      <c r="E7" s="7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">
      <c r="A8" s="7" t="s">
        <v>591</v>
      </c>
      <c r="B8" s="7" t="s">
        <v>592</v>
      </c>
      <c r="C8" s="7" t="s">
        <v>593</v>
      </c>
      <c r="D8" s="7"/>
      <c r="E8" s="7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">
      <c r="A9" s="7" t="s">
        <v>594</v>
      </c>
      <c r="B9" s="7" t="s">
        <v>595</v>
      </c>
      <c r="C9" s="7" t="s">
        <v>596</v>
      </c>
      <c r="D9" s="7"/>
      <c r="E9" s="7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">
      <c r="A10" s="7" t="s">
        <v>531</v>
      </c>
      <c r="B10" s="7" t="s">
        <v>597</v>
      </c>
      <c r="C10" s="7" t="s">
        <v>598</v>
      </c>
      <c r="D10" s="7"/>
      <c r="E10" s="7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7" t="s">
        <v>532</v>
      </c>
      <c r="B11" s="7" t="s">
        <v>599</v>
      </c>
      <c r="C11" s="7" t="s">
        <v>600</v>
      </c>
      <c r="D11" s="7"/>
      <c r="E11" s="7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7" t="s">
        <v>601</v>
      </c>
      <c r="B12" s="7" t="s">
        <v>602</v>
      </c>
      <c r="C12" s="7" t="s">
        <v>603</v>
      </c>
      <c r="D12" s="7"/>
      <c r="E12" s="7"/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7" t="s">
        <v>535</v>
      </c>
      <c r="B13" s="7" t="s">
        <v>604</v>
      </c>
      <c r="C13" s="7" t="s">
        <v>605</v>
      </c>
      <c r="D13" s="7"/>
      <c r="E13" s="7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7" t="s">
        <v>606</v>
      </c>
      <c r="B14" s="7" t="s">
        <v>607</v>
      </c>
      <c r="C14" s="7" t="s">
        <v>608</v>
      </c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7" t="s">
        <v>609</v>
      </c>
      <c r="B15" s="7" t="s">
        <v>610</v>
      </c>
      <c r="C15" s="7" t="s">
        <v>611</v>
      </c>
      <c r="D15" s="7"/>
      <c r="E15" s="7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7" t="s">
        <v>612</v>
      </c>
      <c r="B16" s="7" t="s">
        <v>613</v>
      </c>
      <c r="C16" s="7" t="s">
        <v>614</v>
      </c>
      <c r="D16" s="7"/>
      <c r="E16" s="7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7"/>
      <c r="B17" s="7"/>
      <c r="C17" s="7"/>
      <c r="D17" s="7"/>
      <c r="E17" s="7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7"/>
      <c r="B18" s="7"/>
      <c r="C18" s="7"/>
      <c r="D18" s="7"/>
      <c r="E18" s="7"/>
      <c r="F18" s="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7"/>
      <c r="B19" s="7"/>
      <c r="C19" s="7"/>
      <c r="D19" s="7"/>
      <c r="E19" s="7"/>
      <c r="F19" s="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7"/>
      <c r="B20" s="7"/>
      <c r="C20" s="7"/>
      <c r="D20" s="7"/>
      <c r="E20" s="7"/>
      <c r="F20" s="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7"/>
      <c r="B21" s="7"/>
      <c r="C21" s="7"/>
      <c r="D21" s="7"/>
      <c r="E21" s="7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7"/>
      <c r="B22" s="7"/>
      <c r="C22" s="7"/>
      <c r="D22" s="7"/>
      <c r="E22" s="7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7"/>
      <c r="B23" s="7"/>
      <c r="C23" s="7"/>
      <c r="D23" s="7"/>
      <c r="E23" s="7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7"/>
      <c r="B24" s="7"/>
      <c r="C24" s="7"/>
      <c r="D24" s="7"/>
      <c r="E24" s="7"/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">
      <c r="A25" s="7"/>
      <c r="B25" s="7"/>
      <c r="C25" s="7"/>
      <c r="D25" s="7"/>
      <c r="E25" s="7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7"/>
      <c r="B26" s="7"/>
      <c r="C26" s="7"/>
      <c r="D26" s="7"/>
      <c r="E26" s="7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7"/>
      <c r="B27" s="7"/>
      <c r="C27" s="7"/>
      <c r="D27" s="7"/>
      <c r="E27" s="7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7"/>
      <c r="B28" s="7"/>
      <c r="C28" s="7"/>
      <c r="D28" s="7"/>
      <c r="E28" s="7"/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7"/>
      <c r="B29" s="7"/>
      <c r="C29" s="7"/>
      <c r="D29" s="7"/>
      <c r="E29" s="7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7"/>
      <c r="B30" s="7"/>
      <c r="C30" s="7"/>
      <c r="D30" s="7"/>
      <c r="E30" s="7"/>
      <c r="F30" s="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7"/>
      <c r="B31" s="7"/>
      <c r="C31" s="7"/>
      <c r="D31" s="7"/>
      <c r="E31" s="7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7"/>
      <c r="B32" s="7"/>
      <c r="C32" s="7"/>
      <c r="D32" s="7"/>
      <c r="E32" s="7"/>
      <c r="F32" s="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7"/>
      <c r="B33" s="7"/>
      <c r="C33" s="7"/>
      <c r="D33" s="7"/>
      <c r="E33" s="7"/>
      <c r="F33" s="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7"/>
      <c r="B34" s="7"/>
      <c r="C34" s="7"/>
      <c r="D34" s="7"/>
      <c r="E34" s="7"/>
      <c r="F34" s="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7"/>
      <c r="B35" s="7"/>
      <c r="C35" s="7"/>
      <c r="D35" s="7"/>
      <c r="E35" s="7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Synthetic Records</vt:lpstr>
      <vt:lpstr>02 KPI Dashboard</vt:lpstr>
      <vt:lpstr>03 Exception Log</vt:lpstr>
      <vt:lpstr>04 Workflow Controls</vt:lpstr>
      <vt:lpstr>05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 Pickle</dc:creator>
  <dcterms:created xsi:type="dcterms:W3CDTF">2026-10-28T09:13:37Z</dcterms:created>
</cp:coreProperties>
</file>